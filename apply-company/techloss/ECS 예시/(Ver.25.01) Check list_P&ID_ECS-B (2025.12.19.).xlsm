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sheetMetadata+xml" PartName="/xl/metadata.xml"/>
  <Override ContentType="application/vnd.ms-excel.richvaluerel+xml" PartName="/xl/richData/richValueRel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comments+xml" PartName="/xl/comments1.xml"/>
  <Override ContentType="application/vnd.ms-excel.threadedcomments+xml" PartName="/xl/threadedComments/threadedComment1.xml"/>
  <Override ContentType="application/vnd.openxmlformats-officedocument.drawing+xml" PartName="/xl/drawings/drawing1.xml"/>
  <Override ContentType="application/vnd.ms-excel.person+xml" PartName="/xl/persons/person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?><Relationships xmlns="http://schemas.openxmlformats.org/package/2006/relationships"><Relationship Id="rId3" Target="docProps/app.xml" Type="http://schemas.openxmlformats.org/officeDocument/2006/relationships/extended-properties"/><Relationship Id="rId2" Target="docProps/core.xml" Type="http://schemas.openxmlformats.org/package/2006/relationships/metadata/core-properties"/><Relationship Id="rId1" Target="xl/workbook.xml" Type="http://schemas.openxmlformats.org/officeDocument/2006/relationships/officeDocument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K:\02.비호선업무\Check list 수정\25년도\"/>
    </mc:Choice>
  </mc:AlternateContent>
  <xr:revisionPtr revIDLastSave="0" documentId="13_ncr:1_{17B76E36-6E6C-48EC-B726-5F562EABE1B7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1. Check list" sheetId="15" r:id="rId1"/>
    <sheet name="2. 배관 계산" sheetId="16" r:id="rId2"/>
    <sheet name="3. ANU 선정표" sheetId="17" r:id="rId3"/>
    <sheet name="4. PRU 발열량" sheetId="21" r:id="rId4"/>
    <sheet name="5. Mixing pipe line" sheetId="20" r:id="rId5"/>
  </sheets>
  <definedNames>
    <definedName name="_xlnm._FilterDatabase" localSheetId="0" hidden="1">'1. Check list'!$A$1:$G$73</definedName>
    <definedName name="_xlnm.Print_Area" localSheetId="0">'1. Check list'!$A$1:$G$87</definedName>
    <definedName name="_xlnm.Print_Area" localSheetId="4">'5. Mixing pipe line'!$A$1:$L$40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6" l="1"/>
  <c r="F52" i="21" l="1"/>
  <c r="D52" i="21"/>
  <c r="E52" i="21" s="1"/>
  <c r="F51" i="21"/>
  <c r="D51" i="21"/>
  <c r="E51" i="21" s="1"/>
  <c r="F50" i="21"/>
  <c r="D50" i="21"/>
  <c r="E50" i="21" s="1"/>
  <c r="F49" i="21"/>
  <c r="D49" i="21"/>
  <c r="E49" i="21" s="1"/>
  <c r="F48" i="21"/>
  <c r="D48" i="21"/>
  <c r="E48" i="21" s="1"/>
  <c r="F47" i="21"/>
  <c r="D47" i="21"/>
  <c r="E47" i="21" s="1"/>
  <c r="F46" i="21"/>
  <c r="D46" i="21"/>
  <c r="E46" i="21" s="1"/>
  <c r="F45" i="21"/>
  <c r="E45" i="21"/>
  <c r="D45" i="21"/>
  <c r="F44" i="21"/>
  <c r="D44" i="21"/>
  <c r="E44" i="21" s="1"/>
  <c r="F43" i="21"/>
  <c r="E43" i="21"/>
  <c r="D43" i="21"/>
  <c r="F42" i="21"/>
  <c r="D42" i="21"/>
  <c r="E42" i="21" s="1"/>
  <c r="F41" i="21"/>
  <c r="E41" i="21"/>
  <c r="D41" i="21"/>
  <c r="F40" i="21"/>
  <c r="D40" i="21"/>
  <c r="E40" i="21" s="1"/>
  <c r="F39" i="21"/>
  <c r="E39" i="21"/>
  <c r="D39" i="21"/>
  <c r="F38" i="21"/>
  <c r="D38" i="21"/>
  <c r="E38" i="21" s="1"/>
  <c r="F37" i="21"/>
  <c r="E37" i="21"/>
  <c r="D37" i="21"/>
  <c r="L36" i="21"/>
  <c r="J36" i="21"/>
  <c r="K36" i="21" s="1"/>
  <c r="F36" i="21"/>
  <c r="E36" i="21"/>
  <c r="D36" i="21"/>
  <c r="L35" i="21"/>
  <c r="J35" i="21"/>
  <c r="K35" i="21" s="1"/>
  <c r="F35" i="21"/>
  <c r="E35" i="21"/>
  <c r="D35" i="21"/>
  <c r="L34" i="21"/>
  <c r="J34" i="21"/>
  <c r="K34" i="21" s="1"/>
  <c r="F34" i="21"/>
  <c r="E34" i="21"/>
  <c r="D34" i="21"/>
  <c r="L33" i="21"/>
  <c r="J33" i="21"/>
  <c r="K33" i="21" s="1"/>
  <c r="F33" i="21"/>
  <c r="E33" i="21"/>
  <c r="D33" i="21"/>
  <c r="L32" i="21"/>
  <c r="J32" i="21"/>
  <c r="K32" i="21" s="1"/>
  <c r="F32" i="21"/>
  <c r="E32" i="21"/>
  <c r="D32" i="21"/>
  <c r="L31" i="21"/>
  <c r="J31" i="21"/>
  <c r="K31" i="21" s="1"/>
  <c r="F31" i="21"/>
  <c r="E31" i="21"/>
  <c r="D31" i="21"/>
  <c r="L30" i="21"/>
  <c r="J30" i="21"/>
  <c r="K30" i="21" s="1"/>
  <c r="F30" i="21"/>
  <c r="E30" i="21"/>
  <c r="D30" i="21"/>
  <c r="L29" i="21"/>
  <c r="J29" i="21"/>
  <c r="K29" i="21" s="1"/>
  <c r="F29" i="21"/>
  <c r="E29" i="21"/>
  <c r="D29" i="21"/>
  <c r="L28" i="21"/>
  <c r="J28" i="21"/>
  <c r="K28" i="21" s="1"/>
  <c r="F28" i="21"/>
  <c r="E28" i="21"/>
  <c r="D28" i="21"/>
  <c r="L27" i="21"/>
  <c r="J27" i="21"/>
  <c r="K27" i="21" s="1"/>
  <c r="F27" i="21"/>
  <c r="E27" i="21"/>
  <c r="D27" i="21"/>
  <c r="L26" i="21"/>
  <c r="J26" i="21"/>
  <c r="K26" i="21" s="1"/>
  <c r="F26" i="21"/>
  <c r="E26" i="21"/>
  <c r="D26" i="21"/>
  <c r="L25" i="21"/>
  <c r="J25" i="21"/>
  <c r="K25" i="21" s="1"/>
  <c r="F25" i="21"/>
  <c r="E25" i="21"/>
  <c r="D25" i="21"/>
  <c r="L24" i="21"/>
  <c r="J24" i="21"/>
  <c r="K24" i="21" s="1"/>
  <c r="F24" i="21"/>
  <c r="E24" i="21"/>
  <c r="D24" i="21"/>
  <c r="L23" i="21"/>
  <c r="J23" i="21"/>
  <c r="K23" i="21" s="1"/>
  <c r="F23" i="21"/>
  <c r="E23" i="21"/>
  <c r="D23" i="21"/>
  <c r="L22" i="21"/>
  <c r="J22" i="21"/>
  <c r="K22" i="21" s="1"/>
  <c r="F22" i="21"/>
  <c r="E22" i="21"/>
  <c r="D22" i="21"/>
  <c r="L21" i="21"/>
  <c r="J21" i="21"/>
  <c r="K21" i="21" s="1"/>
  <c r="F21" i="21"/>
  <c r="E21" i="21"/>
  <c r="D21" i="21"/>
  <c r="L20" i="21"/>
  <c r="J20" i="21"/>
  <c r="K20" i="21" s="1"/>
  <c r="F20" i="21"/>
  <c r="E20" i="21"/>
  <c r="D20" i="21"/>
  <c r="L19" i="21"/>
  <c r="J19" i="21"/>
  <c r="K19" i="21" s="1"/>
  <c r="F19" i="21"/>
  <c r="E19" i="21"/>
  <c r="D19" i="21"/>
  <c r="L18" i="21"/>
  <c r="J18" i="21"/>
  <c r="K18" i="21" s="1"/>
  <c r="F18" i="21"/>
  <c r="E18" i="21"/>
  <c r="D18" i="21"/>
  <c r="L17" i="21"/>
  <c r="J17" i="21"/>
  <c r="K17" i="21" s="1"/>
  <c r="F17" i="21"/>
  <c r="E17" i="21"/>
  <c r="D17" i="21"/>
  <c r="L16" i="21"/>
  <c r="J16" i="21"/>
  <c r="K16" i="21" s="1"/>
  <c r="F16" i="21"/>
  <c r="E16" i="21"/>
  <c r="D16" i="21"/>
  <c r="L15" i="21"/>
  <c r="J15" i="21"/>
  <c r="K15" i="21" s="1"/>
  <c r="F15" i="21"/>
  <c r="E15" i="21"/>
  <c r="D15" i="21"/>
  <c r="L14" i="21"/>
  <c r="J14" i="21"/>
  <c r="K14" i="21" s="1"/>
  <c r="F14" i="21"/>
  <c r="E14" i="21"/>
  <c r="D14" i="21"/>
  <c r="L13" i="21"/>
  <c r="J13" i="21"/>
  <c r="K13" i="21" s="1"/>
  <c r="F13" i="21"/>
  <c r="E13" i="21"/>
  <c r="D13" i="21"/>
  <c r="L12" i="21"/>
  <c r="J12" i="21"/>
  <c r="K12" i="21" s="1"/>
  <c r="F12" i="21"/>
  <c r="E12" i="21"/>
  <c r="D12" i="21"/>
  <c r="L11" i="21"/>
  <c r="J11" i="21"/>
  <c r="K11" i="21" s="1"/>
  <c r="F11" i="21"/>
  <c r="E11" i="21"/>
  <c r="D11" i="21"/>
  <c r="L10" i="21"/>
  <c r="J10" i="21"/>
  <c r="K10" i="21" s="1"/>
  <c r="F10" i="21"/>
  <c r="E10" i="21"/>
  <c r="D10" i="21"/>
  <c r="L9" i="21"/>
  <c r="J9" i="21"/>
  <c r="K9" i="21" s="1"/>
  <c r="F9" i="21"/>
  <c r="E9" i="21"/>
  <c r="D9" i="21"/>
  <c r="L8" i="21"/>
  <c r="J8" i="21"/>
  <c r="K8" i="21" s="1"/>
  <c r="F8" i="21"/>
  <c r="E8" i="21"/>
  <c r="D8" i="21"/>
  <c r="L7" i="21"/>
  <c r="J7" i="21"/>
  <c r="K7" i="21" s="1"/>
  <c r="F7" i="21"/>
  <c r="E7" i="21"/>
  <c r="D7" i="21"/>
  <c r="L6" i="21"/>
  <c r="J6" i="21"/>
  <c r="K6" i="21" s="1"/>
  <c r="F6" i="21"/>
  <c r="E6" i="21"/>
  <c r="D6" i="21"/>
  <c r="L5" i="21"/>
  <c r="J5" i="21"/>
  <c r="K5" i="21" s="1"/>
  <c r="F5" i="21"/>
  <c r="E5" i="21"/>
  <c r="D5" i="21"/>
  <c r="F6" i="20" l="1"/>
  <c r="F7" i="20"/>
  <c r="D9" i="16"/>
  <c r="G9" i="16" s="1"/>
  <c r="G6" i="20"/>
  <c r="H6" i="20"/>
  <c r="I6" i="20"/>
  <c r="J6" i="20"/>
  <c r="K6" i="20"/>
  <c r="L6" i="20"/>
  <c r="E6" i="20"/>
  <c r="F31" i="20"/>
  <c r="G31" i="20"/>
  <c r="H31" i="20"/>
  <c r="I31" i="20"/>
  <c r="J31" i="20"/>
  <c r="K31" i="20"/>
  <c r="L31" i="20"/>
  <c r="F32" i="20"/>
  <c r="G32" i="20"/>
  <c r="H32" i="20"/>
  <c r="I32" i="20"/>
  <c r="J32" i="20"/>
  <c r="K32" i="20"/>
  <c r="L32" i="20"/>
  <c r="F33" i="20"/>
  <c r="G33" i="20"/>
  <c r="H33" i="20"/>
  <c r="I33" i="20"/>
  <c r="J33" i="20"/>
  <c r="K33" i="20"/>
  <c r="L33" i="20"/>
  <c r="F34" i="20"/>
  <c r="G34" i="20"/>
  <c r="H34" i="20"/>
  <c r="I34" i="20"/>
  <c r="J34" i="20"/>
  <c r="K34" i="20"/>
  <c r="L34" i="20"/>
  <c r="F35" i="20"/>
  <c r="G35" i="20"/>
  <c r="H35" i="20"/>
  <c r="I35" i="20"/>
  <c r="J35" i="20"/>
  <c r="K35" i="20"/>
  <c r="L35" i="20"/>
  <c r="F36" i="20"/>
  <c r="G36" i="20"/>
  <c r="H36" i="20"/>
  <c r="I36" i="20"/>
  <c r="J36" i="20"/>
  <c r="K36" i="20"/>
  <c r="L36" i="20"/>
  <c r="F37" i="20"/>
  <c r="G37" i="20"/>
  <c r="H37" i="20"/>
  <c r="I37" i="20"/>
  <c r="J37" i="20"/>
  <c r="K37" i="20"/>
  <c r="L37" i="20"/>
  <c r="F38" i="20"/>
  <c r="G38" i="20"/>
  <c r="H38" i="20"/>
  <c r="I38" i="20"/>
  <c r="J38" i="20"/>
  <c r="K38" i="20"/>
  <c r="L38" i="20"/>
  <c r="F39" i="20"/>
  <c r="G39" i="20"/>
  <c r="H39" i="20"/>
  <c r="I39" i="20"/>
  <c r="J39" i="20"/>
  <c r="K39" i="20"/>
  <c r="L39" i="20"/>
  <c r="E31" i="20"/>
  <c r="E32" i="20"/>
  <c r="E33" i="20"/>
  <c r="E34" i="20"/>
  <c r="E35" i="20"/>
  <c r="E36" i="20"/>
  <c r="E37" i="20"/>
  <c r="E38" i="20"/>
  <c r="E39" i="20"/>
  <c r="F21" i="20"/>
  <c r="G21" i="20"/>
  <c r="H21" i="20"/>
  <c r="I21" i="20"/>
  <c r="J21" i="20"/>
  <c r="K21" i="20"/>
  <c r="L21" i="20"/>
  <c r="E21" i="20"/>
  <c r="F20" i="20"/>
  <c r="G20" i="20"/>
  <c r="H20" i="20"/>
  <c r="I20" i="20"/>
  <c r="J20" i="20"/>
  <c r="K20" i="20"/>
  <c r="L20" i="20"/>
  <c r="E20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2" i="20"/>
  <c r="E23" i="20"/>
  <c r="E24" i="20"/>
  <c r="E25" i="20"/>
  <c r="E26" i="20"/>
  <c r="E27" i="20"/>
  <c r="E28" i="20"/>
  <c r="E29" i="20"/>
  <c r="E30" i="20"/>
  <c r="G11" i="20"/>
  <c r="H11" i="20"/>
  <c r="I11" i="20"/>
  <c r="J11" i="20"/>
  <c r="K11" i="20"/>
  <c r="L11" i="20"/>
  <c r="G12" i="20"/>
  <c r="H12" i="20"/>
  <c r="I12" i="20"/>
  <c r="J12" i="20"/>
  <c r="K12" i="20"/>
  <c r="L12" i="20"/>
  <c r="G13" i="20"/>
  <c r="H13" i="20"/>
  <c r="I13" i="20"/>
  <c r="J13" i="20"/>
  <c r="K13" i="20"/>
  <c r="L13" i="20"/>
  <c r="G14" i="20"/>
  <c r="H14" i="20"/>
  <c r="I14" i="20"/>
  <c r="J14" i="20"/>
  <c r="K14" i="20"/>
  <c r="L14" i="20"/>
  <c r="G15" i="20"/>
  <c r="H15" i="20"/>
  <c r="I15" i="20"/>
  <c r="J15" i="20"/>
  <c r="K15" i="20"/>
  <c r="L15" i="20"/>
  <c r="G16" i="20"/>
  <c r="H16" i="20"/>
  <c r="I16" i="20"/>
  <c r="J16" i="20"/>
  <c r="K16" i="20"/>
  <c r="L16" i="20"/>
  <c r="G17" i="20"/>
  <c r="H17" i="20"/>
  <c r="I17" i="20"/>
  <c r="J17" i="20"/>
  <c r="K17" i="20"/>
  <c r="L17" i="20"/>
  <c r="G18" i="20"/>
  <c r="H18" i="20"/>
  <c r="I18" i="20"/>
  <c r="J18" i="20"/>
  <c r="K18" i="20"/>
  <c r="L18" i="20"/>
  <c r="G19" i="20"/>
  <c r="H19" i="20"/>
  <c r="I19" i="20"/>
  <c r="J19" i="20"/>
  <c r="K19" i="20"/>
  <c r="L19" i="20"/>
  <c r="G22" i="20"/>
  <c r="H22" i="20"/>
  <c r="I22" i="20"/>
  <c r="J22" i="20"/>
  <c r="K22" i="20"/>
  <c r="L22" i="20"/>
  <c r="G23" i="20"/>
  <c r="H23" i="20"/>
  <c r="I23" i="20"/>
  <c r="J23" i="20"/>
  <c r="K23" i="20"/>
  <c r="L23" i="20"/>
  <c r="G24" i="20"/>
  <c r="H24" i="20"/>
  <c r="I24" i="20"/>
  <c r="J24" i="20"/>
  <c r="K24" i="20"/>
  <c r="L24" i="20"/>
  <c r="H25" i="20"/>
  <c r="I25" i="20"/>
  <c r="J25" i="20"/>
  <c r="K25" i="20"/>
  <c r="L25" i="20"/>
  <c r="G26" i="20"/>
  <c r="H26" i="20"/>
  <c r="I26" i="20"/>
  <c r="J26" i="20"/>
  <c r="K26" i="20"/>
  <c r="L26" i="20"/>
  <c r="G27" i="20"/>
  <c r="H27" i="20"/>
  <c r="I27" i="20"/>
  <c r="J27" i="20"/>
  <c r="K27" i="20"/>
  <c r="L27" i="20"/>
  <c r="G28" i="20"/>
  <c r="H28" i="20"/>
  <c r="I28" i="20"/>
  <c r="J28" i="20"/>
  <c r="K28" i="20"/>
  <c r="L28" i="20"/>
  <c r="G29" i="20"/>
  <c r="H29" i="20"/>
  <c r="I29" i="20"/>
  <c r="J29" i="20"/>
  <c r="K29" i="20"/>
  <c r="L29" i="20"/>
  <c r="G30" i="20"/>
  <c r="H30" i="20"/>
  <c r="I30" i="20"/>
  <c r="J30" i="20"/>
  <c r="K30" i="20"/>
  <c r="L30" i="20"/>
  <c r="G10" i="20"/>
  <c r="H10" i="20"/>
  <c r="I10" i="20"/>
  <c r="J10" i="20"/>
  <c r="K10" i="20"/>
  <c r="L10" i="20"/>
  <c r="G9" i="20"/>
  <c r="H9" i="20"/>
  <c r="I9" i="20"/>
  <c r="J9" i="20"/>
  <c r="K9" i="20"/>
  <c r="L9" i="20"/>
  <c r="G8" i="20"/>
  <c r="H8" i="20"/>
  <c r="I8" i="20"/>
  <c r="J8" i="20"/>
  <c r="K8" i="20"/>
  <c r="L8" i="20"/>
  <c r="H7" i="20"/>
  <c r="I7" i="20"/>
  <c r="J7" i="20"/>
  <c r="K7" i="20"/>
  <c r="L7" i="20"/>
  <c r="G7" i="20"/>
  <c r="F19" i="20"/>
  <c r="F18" i="20"/>
  <c r="F17" i="20"/>
  <c r="F16" i="20"/>
  <c r="F15" i="20"/>
  <c r="F14" i="20"/>
  <c r="F13" i="20"/>
  <c r="F12" i="20"/>
  <c r="F11" i="20"/>
  <c r="F10" i="20"/>
  <c r="F22" i="20"/>
  <c r="F23" i="20"/>
  <c r="F24" i="20"/>
  <c r="F25" i="20"/>
  <c r="F26" i="20"/>
  <c r="F27" i="20"/>
  <c r="F28" i="20"/>
  <c r="F29" i="20"/>
  <c r="F30" i="20"/>
  <c r="F9" i="20"/>
  <c r="F8" i="20"/>
  <c r="AD13" i="17"/>
  <c r="AE13" i="17" s="1"/>
  <c r="AB13" i="17"/>
  <c r="AA13" i="17"/>
  <c r="Y13" i="17"/>
  <c r="AD12" i="17"/>
  <c r="AE12" i="17" s="1"/>
  <c r="AB12" i="17"/>
  <c r="AA12" i="17"/>
  <c r="Y12" i="17"/>
  <c r="AD11" i="17"/>
  <c r="AE11" i="17" s="1"/>
  <c r="AB11" i="17"/>
  <c r="AA11" i="17"/>
  <c r="Y11" i="17"/>
  <c r="AE10" i="17"/>
  <c r="AD10" i="17"/>
  <c r="AB10" i="17"/>
  <c r="AA10" i="17"/>
  <c r="Y10" i="17"/>
  <c r="AE9" i="17"/>
  <c r="AD9" i="17"/>
  <c r="AB9" i="17"/>
  <c r="AA9" i="17"/>
  <c r="Y9" i="17"/>
  <c r="AD8" i="17"/>
  <c r="AE8" i="17" s="1"/>
  <c r="AB8" i="17"/>
  <c r="AA8" i="17"/>
  <c r="Y8" i="17"/>
  <c r="AD7" i="17"/>
  <c r="AE7" i="17" s="1"/>
  <c r="AB7" i="17"/>
  <c r="AA7" i="17"/>
  <c r="Y7" i="17"/>
  <c r="AD6" i="17"/>
  <c r="AE6" i="17" s="1"/>
  <c r="AB6" i="17"/>
  <c r="AA6" i="17"/>
  <c r="Y6" i="17"/>
  <c r="AD5" i="17"/>
  <c r="AE5" i="17" s="1"/>
  <c r="AB5" i="17"/>
  <c r="AA5" i="17"/>
  <c r="Y5" i="17"/>
  <c r="AD4" i="17"/>
  <c r="AE4" i="17" s="1"/>
  <c r="AB4" i="17"/>
  <c r="AA4" i="17"/>
  <c r="Y4" i="17"/>
  <c r="C5" i="16" l="1"/>
  <c r="U55" i="16"/>
  <c r="U60" i="16" s="1"/>
  <c r="U61" i="16" s="1"/>
  <c r="U64" i="16" s="1"/>
  <c r="Y64" i="16" s="1"/>
  <c r="P31" i="16"/>
  <c r="Q31" i="16" s="1"/>
  <c r="L31" i="16"/>
  <c r="M31" i="16" s="1"/>
  <c r="D31" i="16"/>
  <c r="G31" i="16" s="1"/>
  <c r="P30" i="16"/>
  <c r="Q30" i="16" s="1"/>
  <c r="L30" i="16"/>
  <c r="M30" i="16" s="1"/>
  <c r="D30" i="16"/>
  <c r="G30" i="16" s="1"/>
  <c r="P29" i="16"/>
  <c r="Q29" i="16" s="1"/>
  <c r="L29" i="16"/>
  <c r="M29" i="16" s="1"/>
  <c r="D29" i="16"/>
  <c r="G29" i="16" s="1"/>
  <c r="P28" i="16"/>
  <c r="Q28" i="16" s="1"/>
  <c r="L28" i="16"/>
  <c r="M28" i="16" s="1"/>
  <c r="D28" i="16"/>
  <c r="G28" i="16" s="1"/>
  <c r="P27" i="16"/>
  <c r="Q27" i="16" s="1"/>
  <c r="L27" i="16"/>
  <c r="M27" i="16" s="1"/>
  <c r="D27" i="16"/>
  <c r="G27" i="16" s="1"/>
  <c r="P26" i="16"/>
  <c r="L26" i="16"/>
  <c r="M26" i="16" s="1"/>
  <c r="D26" i="16"/>
  <c r="G26" i="16" s="1"/>
  <c r="P25" i="16"/>
  <c r="Q25" i="16" s="1"/>
  <c r="L25" i="16"/>
  <c r="M25" i="16" s="1"/>
  <c r="D25" i="16"/>
  <c r="G25" i="16" s="1"/>
  <c r="P24" i="16"/>
  <c r="Q24" i="16" s="1"/>
  <c r="L24" i="16"/>
  <c r="M24" i="16" s="1"/>
  <c r="D24" i="16"/>
  <c r="G24" i="16" s="1"/>
  <c r="P23" i="16"/>
  <c r="Q23" i="16" s="1"/>
  <c r="L23" i="16"/>
  <c r="M23" i="16" s="1"/>
  <c r="D23" i="16"/>
  <c r="G23" i="16" s="1"/>
  <c r="P22" i="16"/>
  <c r="Q22" i="16" s="1"/>
  <c r="L22" i="16"/>
  <c r="M22" i="16" s="1"/>
  <c r="D22" i="16"/>
  <c r="G22" i="16" s="1"/>
  <c r="P21" i="16"/>
  <c r="L21" i="16"/>
  <c r="G37" i="16" s="1" a="1"/>
  <c r="G37" i="16" s="1"/>
  <c r="D38" i="16" s="1"/>
  <c r="D21" i="16"/>
  <c r="G21" i="16" s="1"/>
  <c r="P20" i="16"/>
  <c r="Q20" i="16" s="1"/>
  <c r="L20" i="16"/>
  <c r="M20" i="16" s="1"/>
  <c r="D20" i="16"/>
  <c r="G20" i="16" s="1"/>
  <c r="P19" i="16"/>
  <c r="Q19" i="16" s="1"/>
  <c r="L19" i="16"/>
  <c r="M19" i="16" s="1"/>
  <c r="D19" i="16"/>
  <c r="G19" i="16" s="1"/>
  <c r="P18" i="16"/>
  <c r="Q18" i="16" s="1"/>
  <c r="L18" i="16"/>
  <c r="M18" i="16" s="1"/>
  <c r="D18" i="16"/>
  <c r="G18" i="16" s="1"/>
  <c r="P17" i="16"/>
  <c r="Q17" i="16" s="1"/>
  <c r="L17" i="16"/>
  <c r="M17" i="16" s="1"/>
  <c r="D17" i="16"/>
  <c r="G17" i="16" s="1"/>
  <c r="P16" i="16"/>
  <c r="Q16" i="16" s="1"/>
  <c r="L16" i="16"/>
  <c r="M16" i="16" s="1"/>
  <c r="D16" i="16"/>
  <c r="G16" i="16" s="1"/>
  <c r="P15" i="16"/>
  <c r="Q15" i="16" s="1"/>
  <c r="L15" i="16"/>
  <c r="M15" i="16" s="1"/>
  <c r="D15" i="16"/>
  <c r="G15" i="16" s="1"/>
  <c r="P14" i="16"/>
  <c r="Q14" i="16" s="1"/>
  <c r="L14" i="16"/>
  <c r="M14" i="16" s="1"/>
  <c r="D14" i="16"/>
  <c r="G14" i="16" s="1"/>
  <c r="P13" i="16"/>
  <c r="Q13" i="16" s="1"/>
  <c r="L13" i="16"/>
  <c r="M13" i="16" s="1"/>
  <c r="D13" i="16"/>
  <c r="G13" i="16" s="1"/>
  <c r="P12" i="16"/>
  <c r="L12" i="16"/>
  <c r="D12" i="16"/>
  <c r="G12" i="16" s="1"/>
  <c r="P11" i="16"/>
  <c r="Q11" i="16" s="1"/>
  <c r="L11" i="16"/>
  <c r="M11" i="16" s="1"/>
  <c r="D11" i="16"/>
  <c r="G11" i="16" s="1"/>
  <c r="P10" i="16"/>
  <c r="L10" i="16"/>
  <c r="D10" i="16"/>
  <c r="G10" i="16" s="1"/>
  <c r="P9" i="16"/>
  <c r="Q9" i="16" s="1"/>
  <c r="L9" i="16"/>
  <c r="M9" i="16" s="1"/>
  <c r="P8" i="16"/>
  <c r="Q8" i="16" s="1"/>
  <c r="L8" i="16"/>
  <c r="M8" i="16" s="1"/>
  <c r="P7" i="16"/>
  <c r="Q7" i="16" s="1"/>
  <c r="L7" i="16"/>
  <c r="M7" i="16" s="1"/>
  <c r="P6" i="16"/>
  <c r="Q6" i="16" s="1"/>
  <c r="L6" i="16"/>
  <c r="M6" i="16" s="1"/>
  <c r="V5" i="16"/>
  <c r="V7" i="16" s="1"/>
  <c r="P5" i="16"/>
  <c r="Q5" i="16" s="1"/>
  <c r="L5" i="16"/>
  <c r="M5" i="16" s="1"/>
  <c r="Q12" i="16" l="1"/>
  <c r="I44" i="16" a="1"/>
  <c r="I44" i="16" s="1"/>
  <c r="M12" i="16"/>
  <c r="G44" i="16" a="1"/>
  <c r="G44" i="16" s="1"/>
  <c r="D45" i="16" s="1"/>
  <c r="D49" i="16" s="1"/>
  <c r="Q10" i="16"/>
  <c r="M10" i="16"/>
  <c r="Q21" i="16"/>
  <c r="I37" i="16" a="1"/>
  <c r="I37" i="16" s="1"/>
  <c r="M21" i="16"/>
  <c r="V6" i="16"/>
  <c r="U57" i="16"/>
  <c r="U58" i="16" s="1"/>
  <c r="U63" i="16" s="1"/>
  <c r="Y63" i="16" s="1"/>
  <c r="D48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tc={5061D6F4-4481-44A2-AAC1-883E907EC7CB}</author>
    <author>tc={359B13E9-BB79-4C0F-95FC-96DCEE9A41C6}</author>
    <author>tc={5EEA9AB2-80CF-4A95-8C7F-1D40BB3E5863}</author>
    <author>tc={DA71DE5D-95AC-4CC5-8FF3-127B86DD3EBC}</author>
    <author>tc={301D4388-1813-4147-9FBE-CC3D0E64F872}</author>
  </authors>
  <commentList>
    <comment ref="C66" authorId="0" shapeId="0" xr:uid="{5061D6F4-4481-44A2-AAC1-883E907EC7C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1) Weather deck 통해 연결된다면 ANU- [SOL. VALVE] - CHECK VALVE - [SPOOL PIECE] 순으로 작성하였는가 (Standard)
(APPENDIX 4/6.Using a Speel piece_ABS Guide for BWTS)
2) Bulkhead를 관통한다면 ANU - [RFS] - [SOL. VALVE] - CHECK VALVE - [U SEAL] 순으로 작성하였는가 
(APPENDIX 2/Figure 1_ABS Guide for BWTS) &lt;--- Retrofit Case 2 &amp; 3 에서는 해당 구성으로 할 것 (리트로핏팀 요구사항)</t>
      </text>
    </comment>
    <comment ref="C69" authorId="1" shapeId="0" xr:uid="{359B13E9-BB79-4C0F-95FC-96DCEE9A41C6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당사는 LR TAC 미취득, MGDA만 보유하고 있음 (2021년)
- LR TA는 mandatory가 아니며 MGDA 취득으로 LR선박에 설치가 가능함 (installation rule Ch 2.4, 2.5)
- 그러나 CLASS NOTATION에 따라 아래와 같이 구분됩니다. 
- BWTS = MGDA로 커버 가능
- BWTS* = LR TAC 필요 
** 기본설계팀 : 본선 POS 검토시 LR Noration이 "BWTS*" 경우는 DEVIATION LIST에 언급 할 것  </t>
      </text>
    </comment>
    <comment ref="A75" authorId="2" shapeId="0" xr:uid="{5EEA9AB2-80CF-4A95-8C7F-1D40BB3E586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General Cargo
Container
Passenger ship</t>
      </text>
    </comment>
    <comment ref="A77" authorId="3" shapeId="0" xr:uid="{DA71DE5D-95AC-4CC5-8FF3-127B86DD3EB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Oil Tanker  
Chemical Tanker 
VLCC</t>
      </text>
    </comment>
    <comment ref="A83" authorId="4" shapeId="0" xr:uid="{301D4388-1813-4147-9FBE-CC3D0E64F87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Heavy lift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<sst xmlns="http://schemas.openxmlformats.org/spreadsheetml/2006/main" count="445" uniqueCount="225">
  <si>
    <t>Ex-FTS</t>
    <phoneticPr fontId="1" type="noConversion"/>
  </si>
  <si>
    <t>Ex-STS</t>
    <phoneticPr fontId="1" type="noConversion"/>
  </si>
  <si>
    <t>Ex-EWU</t>
    <phoneticPr fontId="1" type="noConversion"/>
  </si>
  <si>
    <t>HEU</t>
    <phoneticPr fontId="1" type="noConversion"/>
  </si>
  <si>
    <t>FMU</t>
    <phoneticPr fontId="1" type="noConversion"/>
  </si>
  <si>
    <t>Ex-CSU</t>
    <phoneticPr fontId="1" type="noConversion"/>
  </si>
  <si>
    <t>작성자</t>
    <phoneticPr fontId="3" type="noConversion"/>
  </si>
  <si>
    <t>검토자</t>
    <phoneticPr fontId="3" type="noConversion"/>
  </si>
  <si>
    <t>승인자</t>
    <phoneticPr fontId="3" type="noConversion"/>
  </si>
  <si>
    <t>Check Sheet</t>
    <phoneticPr fontId="3" type="noConversion"/>
  </si>
  <si>
    <t xml:space="preserve">본선 사양 </t>
    <phoneticPr fontId="3" type="noConversion"/>
  </si>
  <si>
    <t>CHECK</t>
    <phoneticPr fontId="3" type="noConversion"/>
  </si>
  <si>
    <t>기본</t>
    <phoneticPr fontId="1" type="noConversion"/>
  </si>
  <si>
    <t>ECS Componentes list 사양 확인 하였는가 (ECU, FMU, T-STRAINER, MIXING PUMP, FCV 사이즈 기입 주의)</t>
    <phoneticPr fontId="1" type="noConversion"/>
  </si>
  <si>
    <t>장비 설치 위치를 확인 하였는가 (예시) ENGINE RM, PUMP RM, ON-DECK RM</t>
    <phoneticPr fontId="1" type="noConversion"/>
  </si>
  <si>
    <t xml:space="preserve">A.P.Tank의 주배수 펌프 확인 하였는가 
Ballast Pump와 Fire GS pump 모두 A.P.Tank를 주배수 가능 한 경우 → Main pump는 Fire GS pump로 구성 할 것 </t>
    <phoneticPr fontId="1" type="noConversion"/>
  </si>
  <si>
    <t>BALLAST PUMP</t>
    <phoneticPr fontId="1" type="noConversion"/>
  </si>
  <si>
    <t xml:space="preserve">Ballast pump 후단에 ①Check valve ② Manual valve  없을 경우 추가 할 것 </t>
    <phoneticPr fontId="1" type="noConversion"/>
  </si>
  <si>
    <t>Ballast pump Head 값을 확인 하였는가 
2바 이하이거나 당사 장비 위치상 ballast pump head가 부족하다고 판단 될 경우 선주사에게 문의 할 것
(ECS pressure drop 0.4 bar 언급)</t>
    <phoneticPr fontId="1" type="noConversion"/>
  </si>
  <si>
    <t>ECU</t>
    <phoneticPr fontId="1" type="noConversion"/>
  </si>
  <si>
    <t xml:space="preserve">ECU 단일 챔버일경우  ECU Outlet valve에 ① SIGNAL ② Locking device ③ Orifice 삭제 하였는가 </t>
    <phoneticPr fontId="1" type="noConversion"/>
  </si>
  <si>
    <t>PRU</t>
    <phoneticPr fontId="1" type="noConversion"/>
  </si>
  <si>
    <t>Maker : FC KOREA 적용 하였는가</t>
    <phoneticPr fontId="1" type="noConversion"/>
  </si>
  <si>
    <t>T-STRAINER</t>
    <phoneticPr fontId="1" type="noConversion"/>
  </si>
  <si>
    <t>FTS</t>
    <phoneticPr fontId="1" type="noConversion"/>
  </si>
  <si>
    <t>CSU</t>
    <phoneticPr fontId="1" type="noConversion"/>
  </si>
  <si>
    <t xml:space="preserve">Ex-CSU 배관 연결부의 사이즈 10K-80A  (단관 미제공 : MAKER STANDRAD)
HEU Inlet line에 설치시 사이즈 및 레듀서 표기 알맞게 하였는가 </t>
    <phoneticPr fontId="1" type="noConversion"/>
  </si>
  <si>
    <t xml:space="preserve">Ex-STS 삭제 하였는가 (S.W 온도는 Ex-CSU로 확인 가능함) </t>
    <phoneticPr fontId="1" type="noConversion"/>
  </si>
  <si>
    <t xml:space="preserve">HEU Inlet/Outlet은 T-strainer 후단에 위치하였는가 </t>
    <phoneticPr fontId="1" type="noConversion"/>
  </si>
  <si>
    <t>ANU</t>
    <phoneticPr fontId="1" type="noConversion"/>
  </si>
  <si>
    <t>ANU 선정 기준 
1) 600m3/h 이하 : ANU-S
2) 1000m3/h 이하 : ANU5T (정량 PUMP 1대) , 단, KR 적용 불가능, KR+KG 적용 불가능
3) 1500m3/h 이하 : ANU-5T (정량 PUMP 2대)
4) 2600m3/h 이하 : ANU-10T (정량 PUMP 2대)</t>
    <phoneticPr fontId="1" type="noConversion"/>
  </si>
  <si>
    <t xml:space="preserve">ANU port와 TSU port가 같은 Pipe line에 설치 될 경우, 5D 거리 기입하였는가 </t>
    <phoneticPr fontId="1" type="noConversion"/>
  </si>
  <si>
    <t>Flushing line을 적용 하였는가 (일본 조선소 제외 / 별도 협의 필요) =&gt; TSUNEISHI 적용 안되어 있음</t>
    <phoneticPr fontId="1" type="noConversion"/>
  </si>
  <si>
    <t>DTS</t>
    <phoneticPr fontId="1" type="noConversion"/>
  </si>
  <si>
    <t xml:space="preserve">DTS를 적용 하였는가 (비방폭/방폭/신조/RETROFIT)  </t>
    <phoneticPr fontId="1" type="noConversion"/>
  </si>
  <si>
    <t xml:space="preserve">EX-DTS </t>
    <phoneticPr fontId="1" type="noConversion"/>
  </si>
  <si>
    <t xml:space="preserve">Ex-DTS 에서 Portable TRO 측정을 위한 Sampling valve를 TRO Sensor inlet에 반영 하였는가 </t>
    <phoneticPr fontId="1" type="noConversion"/>
  </si>
  <si>
    <t xml:space="preserve">Ex-DTS 용 IS-Barrier를 반영 하였는가 </t>
    <phoneticPr fontId="1" type="noConversion"/>
  </si>
  <si>
    <t>EWU</t>
    <phoneticPr fontId="1" type="noConversion"/>
  </si>
  <si>
    <r>
      <t xml:space="preserve">EX-EWU의 AIR PUMP TYPE을 적용 하였는가 (Air line : </t>
    </r>
    <r>
      <rPr>
        <sz val="12"/>
        <rFont val="Calibri"/>
        <family val="3"/>
        <charset val="161"/>
      </rPr>
      <t>Φ</t>
    </r>
    <r>
      <rPr>
        <sz val="12"/>
        <rFont val="맑은 고딕"/>
        <family val="3"/>
        <charset val="129"/>
        <scheme val="major"/>
      </rPr>
      <t>8)</t>
    </r>
    <phoneticPr fontId="1" type="noConversion"/>
  </si>
  <si>
    <t xml:space="preserve">VLS </t>
    <phoneticPr fontId="1" type="noConversion"/>
  </si>
  <si>
    <t xml:space="preserve">Ex-ECS인 경우 Ex-VLS으로 기입하였는가 </t>
    <phoneticPr fontId="1" type="noConversion"/>
  </si>
  <si>
    <t>MIXING</t>
    <phoneticPr fontId="1" type="noConversion"/>
  </si>
  <si>
    <t xml:space="preserve">Mixing pump 사양 선정은 Ballast pump capa'로 진행하였는가 </t>
    <phoneticPr fontId="1" type="noConversion"/>
  </si>
  <si>
    <t xml:space="preserve">S.W.H.TK의 Main line에 By-pass valve 신호 구성 하였는가 </t>
    <phoneticPr fontId="1" type="noConversion"/>
  </si>
  <si>
    <t xml:space="preserve">PCU 도면상에 표현 하였는가 </t>
    <phoneticPr fontId="1" type="noConversion"/>
  </si>
  <si>
    <t>FCV 메이커는 HKC 적용하였는가</t>
    <phoneticPr fontId="1" type="noConversion"/>
  </si>
  <si>
    <t>FCV (MAIN용)</t>
    <phoneticPr fontId="1" type="noConversion"/>
  </si>
  <si>
    <t xml:space="preserve">삽입관 </t>
    <phoneticPr fontId="1" type="noConversion"/>
  </si>
  <si>
    <t>최신 도면을 사용하였는가 (TPD0221019-GA-A001A-SAMPLING)</t>
    <phoneticPr fontId="1" type="noConversion"/>
  </si>
  <si>
    <t xml:space="preserve">GRAVITY 운전 </t>
    <phoneticPr fontId="1" type="noConversion"/>
  </si>
  <si>
    <t xml:space="preserve">Gravity Ballasting 적용 시, Valve signal list에 Gravity ballast mode를 반영하였는가 </t>
    <phoneticPr fontId="1" type="noConversion"/>
  </si>
  <si>
    <t>선급 ABS</t>
    <phoneticPr fontId="1" type="noConversion"/>
  </si>
  <si>
    <t xml:space="preserve">Valve signal list에 FAN Running signal을 반영하였는가 </t>
    <phoneticPr fontId="1" type="noConversion"/>
  </si>
  <si>
    <t xml:space="preserve">Oil carrier 선종의 경우, Valve signal list에 HC GAS Dection signal을 반영하였는가 
Section 4_3.3.2_ⅱ_b_2)  </t>
    <phoneticPr fontId="1" type="noConversion"/>
  </si>
  <si>
    <t xml:space="preserve">APT solution 적용시 Safety area에서 Hazardous area로 이동 시, Fail Closed Valve 를 적용 하였는가 
(Mixing solution의 경우 안전구역의 FCV가 Fail Closed Valve 역할을 함) </t>
    <phoneticPr fontId="1" type="noConversion"/>
  </si>
  <si>
    <t xml:space="preserve">비방폭 DTS(또는 TSU) 장비에 DTU 반영 하였는가 </t>
    <phoneticPr fontId="1" type="noConversion"/>
  </si>
  <si>
    <t>선급 LR</t>
    <phoneticPr fontId="1" type="noConversion"/>
  </si>
  <si>
    <t>선급 KR</t>
    <phoneticPr fontId="1" type="noConversion"/>
  </si>
  <si>
    <t>[CLASS KR] NOTE 반영하였는가 (포터블 H2 센서 공급건)</t>
    <phoneticPr fontId="1" type="noConversion"/>
  </si>
  <si>
    <t xml:space="preserve">KR + KG 시, MANUAL도 승인 필요함을 인지하고 있는가 </t>
    <phoneticPr fontId="1" type="noConversion"/>
  </si>
  <si>
    <t>선급 CRS
ANU Dosing line이 Safety area 에서 Hazardosus area로 연결 될 경우, BULKHEAD 관통하면 아래와 같은 배치 하였는가
순서 : ANU - [SOL. VALVE] - CHECK VALVE - [U SEAL] (ABS 선급의 경우에서 RFS만 제외하고 동일함)
→ 타 선급에도 RFS 제외하고 표준 적용 확인 필요</t>
    <phoneticPr fontId="1" type="noConversion"/>
  </si>
  <si>
    <t xml:space="preserve">Mixing point와 FMU가 같은 Pipe line에 설치 될 경우 AS FAR AS PRACTICABLE(MIN.5D) 거리 표기 하였는가 </t>
    <phoneticPr fontId="1" type="noConversion"/>
  </si>
  <si>
    <t>FMU를 ECU 후단배치 적용 하였는가 (2024년 기준)</t>
  </si>
  <si>
    <t>Ex-ECS Common line 전/후단 1개씩 적용 하였는가 (ECU Vertial type인 경우는 Inlet에 Branch만 구성)</t>
  </si>
  <si>
    <t xml:space="preserve">PRU 당 0.45m3/h에 맞게 Cooling F.W.유량 기입하였는가 </t>
    <phoneticPr fontId="1" type="noConversion"/>
  </si>
  <si>
    <t>FTS 배관 연결부의 사이즈 PT 1/2" 적용 하였는가  (단관 미제공 : MAKER STANDRAD)</t>
    <phoneticPr fontId="1" type="noConversion"/>
  </si>
  <si>
    <t>Ex-FTS 배관 연결부의 사이즈 5K-25A 적용 하였는가  (단관 미제공 : MAKER STANDRAD)</t>
    <phoneticPr fontId="1" type="noConversion"/>
  </si>
  <si>
    <t>CSU 단관 5K-50A 적용 하였는가 (단관 제공 : MAKER STANDRAD)</t>
    <phoneticPr fontId="1" type="noConversion"/>
  </si>
  <si>
    <t xml:space="preserve">S.W.H.TK의 필요 CAPA'를 계산 하였는가 (P&amp;ID NOTE 반영 필요, 영업팀에 전달 필요) </t>
    <phoneticPr fontId="1" type="noConversion"/>
  </si>
  <si>
    <t xml:space="preserve">Mixing point 후단에 CSU가 위치하였는가 </t>
    <phoneticPr fontId="1" type="noConversion"/>
  </si>
  <si>
    <t>1) 단납기 : HKC 적용   2) 신조: EMERSON 적용</t>
    <phoneticPr fontId="1" type="noConversion"/>
  </si>
  <si>
    <t>APT solution 적용시 APT solution용 펌프유량이 ECU의 15%(ECU chamber 1개기준) 만족하는지 확인하였는가</t>
    <phoneticPr fontId="1" type="noConversion"/>
  </si>
  <si>
    <t>본선의 Bilge holding tank 유무 확인하였는가 (Capacity plan 및 빌지piping 확인할 것)
 - 발라스팅시 18L/H의 bilge를 수용할 수 있는지 본선에 확인 필요. (Bilge Hat, Bilge well 등등..)
 - 본선에서 수용불가하면 DTU 설치 필요</t>
    <phoneticPr fontId="1" type="noConversion"/>
  </si>
  <si>
    <t>Stripping eductor가 아닌 Stripping pump사용될 경우 FMU 추가하였는 가.</t>
    <phoneticPr fontId="1" type="noConversion"/>
  </si>
  <si>
    <t>W.B.TK에 Overflow line이 있는지 확인할 것. Overflow라인으로 배출되는 발라스트수도 중화처리 후 배출 필요함.</t>
    <phoneticPr fontId="1" type="noConversion"/>
  </si>
  <si>
    <t xml:space="preserve">재고 사용 가능 여부 확인하였는가 (FMU, T-STRAINER, FCV, PUMP) </t>
    <phoneticPr fontId="1" type="noConversion"/>
  </si>
  <si>
    <t>선급 DNV</t>
    <phoneticPr fontId="1" type="noConversion"/>
  </si>
  <si>
    <t>Vaccum 발생 가능한 지점에 Vacuum 해소 가능한 Arrange를 구성 하였는가
- ECS Pump RM 설치시 ANU Dosing line 
- ECS On-deck 설치시 Main Ballast line</t>
    <phoneticPr fontId="1" type="noConversion"/>
  </si>
  <si>
    <t xml:space="preserve">도면 양식(51-Q-02-08) 최신 적용하고, 도번(TPDXX) 에는 해당 년도를 알맞게 기입하였는가 </t>
    <phoneticPr fontId="1" type="noConversion"/>
  </si>
  <si>
    <r>
      <t xml:space="preserve">Stripping Eductor 에 대하여 아래 내용을 도면상에 기입하였는가 
</t>
    </r>
    <r>
      <rPr>
        <i/>
        <sz val="12"/>
        <color theme="1"/>
        <rFont val="맑은 고딕"/>
        <family val="3"/>
        <charset val="129"/>
        <scheme val="minor"/>
      </rPr>
      <t>EDUCTOR CAPA' SHOULD BE CONSIDERED FOR PRESSURE LOSS BY SHIP'S YARD(or SHIP'S OWNER, ENGINEERING COMPANY)</t>
    </r>
    <phoneticPr fontId="1" type="noConversion"/>
  </si>
  <si>
    <t xml:space="preserve">Ballast pump의 용량 및 운전 조건은 확인 하였는가 (ECS 사양, FMU 사양 관련 있음) </t>
    <phoneticPr fontId="1" type="noConversion"/>
  </si>
  <si>
    <t xml:space="preserve">Stripping에 Driving water를 Ballast pump로 사용할 경우, BWMS 지나지않도록 라인 구성하였는가 </t>
    <phoneticPr fontId="1" type="noConversion"/>
  </si>
  <si>
    <t xml:space="preserve">ANU Dosing Pipe가 Weather deck을 통해 연결되는 경우 관련 Note 명기 하였는가 </t>
    <phoneticPr fontId="1" type="noConversion"/>
  </si>
  <si>
    <t xml:space="preserve">On-deck에 Ex-CLX의 Drain을 Ballast tank로 배출 가능하며 Ex-DTU 및 Ex-APU 삭제 하였는가 </t>
    <phoneticPr fontId="1" type="noConversion"/>
  </si>
  <si>
    <t>(If Retrofit) T.S.TK(Top Side Tank) 유무를 확인 하였는가</t>
    <phoneticPr fontId="1" type="noConversion"/>
  </si>
  <si>
    <t>(If Retrofit) 탱크 (Slop TK/Grey water TK/Wash hold TK….etc..) 겸용사용있는지 확인 하였는가</t>
    <phoneticPr fontId="1" type="noConversion"/>
  </si>
  <si>
    <t>(If Retrofit) BWMS inlet/outlet 지관 작성 시 타시스템 (주로 Inert gas system)과의 connection 끊지않도록 구성하였는가</t>
    <phoneticPr fontId="1" type="noConversion"/>
  </si>
  <si>
    <t xml:space="preserve">본선 Cooling F.W. System 사용 가능시 Inlet에 밸브 신호 적용 하였는가 </t>
    <phoneticPr fontId="1" type="noConversion"/>
  </si>
  <si>
    <t xml:space="preserve">EWU MOTOR TYPE을 적용 하였는가 </t>
    <phoneticPr fontId="1" type="noConversion"/>
  </si>
  <si>
    <t>Ballasting / De-ballasting 유량 조절 목적이라면 Ballast pump 후단에 위치하였는가</t>
    <phoneticPr fontId="1" type="noConversion"/>
  </si>
  <si>
    <t xml:space="preserve">Ballasting만 유량 조절 목적이라면 T-strainer 후단에 위치하였는가 </t>
    <phoneticPr fontId="1" type="noConversion"/>
  </si>
  <si>
    <t>조선소에서 삽입관 공급 요청받았는가, 당사 공급시 도면상에 표현 하였는가 
1) TSU 삽입관, 2) ANU 삽입관, 3) G2 삽입관 or/with Diaphram valve (G2 삽입관 재질 STPG370로 호선팀에 전달)</t>
    <phoneticPr fontId="1" type="noConversion"/>
  </si>
  <si>
    <t xml:space="preserve">T-STRAINER를 미적용한 조선소인지 파악 하였는가
미적용 조선소(TSUNESIHI, OSHIMA, NAMURA, SANOYAS, IMABARI, SASEBO 등) </t>
    <phoneticPr fontId="1" type="noConversion"/>
  </si>
  <si>
    <t xml:space="preserve">NACKS, OSHIMA, TSUNEISHI 조선소에 최신 Sampling Detail drawing을 제시해보았는가 </t>
    <phoneticPr fontId="1" type="noConversion"/>
  </si>
  <si>
    <t>KR선급만 (FLAG상관없이)T-STRAINER 10K Flange 적용 할 것 
- KR이외의 선급은 기존대로 T-STRAINER 5K Flange 적용(본선도면에 따름) 
- 압력받는 제품(ECU, T-STRAINER) 의 경우 KR Rule에 따라 수압테스트를 1.5배 진행</t>
    <phoneticPr fontId="1" type="noConversion"/>
  </si>
  <si>
    <t xml:space="preserve">1) DEBALLASTING시 FMU 미통과 호선의 경우, TLGS 연결을 하였는가?
2) 기본적으로는 TLGS와 연동하는 것이 원칙
3) TLGS가 없거나 고장난 호선 / 선주가 비용 문제로 인해 연결 거부하는 호선은 DE-BALLASITNG 이후 DE-BALLASTING용량 HMI에 기입하는  방안 선주 제시할 것
4) HMI에 반영필요하므로 SW팀에 안내할 것 / CS시 전문기술팀에 해당내용 안내 할 것 </t>
    <phoneticPr fontId="1" type="noConversion"/>
  </si>
  <si>
    <t>Retrofit Case 2 &amp; 3일때 Valve No., Air, FW line 등 기재 하였는가</t>
    <phoneticPr fontId="1" type="noConversion"/>
  </si>
  <si>
    <t xml:space="preserve">선종 Tanker
</t>
    <phoneticPr fontId="1" type="noConversion"/>
  </si>
  <si>
    <t>선종 Bulker</t>
    <phoneticPr fontId="1" type="noConversion"/>
  </si>
  <si>
    <t>선종 Barge</t>
    <phoneticPr fontId="1" type="noConversion"/>
  </si>
  <si>
    <t>선종 LNG / LPG</t>
    <phoneticPr fontId="1" type="noConversion"/>
  </si>
  <si>
    <t>선급 CRS</t>
    <phoneticPr fontId="1" type="noConversion"/>
  </si>
  <si>
    <t xml:space="preserve">Mixing pump가 표준자료(440V, 60Hz) 외의 사양이라면 새로 도면 받아 호선팀으로 전달 할 것 </t>
    <phoneticPr fontId="1" type="noConversion"/>
  </si>
  <si>
    <t>DE-BALLAST시 
FMU 미통과</t>
    <phoneticPr fontId="1" type="noConversion"/>
  </si>
  <si>
    <t>Retrofit Case 2 &amp; 3</t>
    <phoneticPr fontId="1" type="noConversion"/>
  </si>
  <si>
    <t xml:space="preserve">본선 Cooling F.W. System 사용 불가능 시, HEU, FTU, SWP 적용 하였는가 </t>
    <phoneticPr fontId="1" type="noConversion"/>
  </si>
  <si>
    <t>해당 선급 입력 후, ctrl + shift + z</t>
    <phoneticPr fontId="1" type="noConversion"/>
  </si>
  <si>
    <t xml:space="preserve">본선 POS 검토시 LR Noration이 [BWTS*] 경우 Deviation list에 LA TAC가 필요함을 영업팀에 전달 할 것 (상세내용 - 메모) </t>
    <phoneticPr fontId="1" type="noConversion"/>
  </si>
  <si>
    <t>ANU Dosing line이 Safety area 에서 Hazardosus area로 연결 될 경우  (상세내용 - 메모) 
1) Weather deck 통해 연결된다면 ANU- [SOL. VALVE] - CHECK VALVE - [SPOOL PIECE] 순으로 작성하였는가 (Standard)
2) Bulkhead를 관통한다면 ANU - [RFS] - [SOL. VALVE] - CHECK VALVE - [U SEAL] 순으로 작성하였는가 
    * Retrofit Case 2 &amp; 3 에서는 2)항으로 구성 할 것 (리트로핏팀 요구사항)</t>
    <phoneticPr fontId="1" type="noConversion"/>
  </si>
  <si>
    <t>Bulker, Tanker, Barge, LNG, LPG 입력 후, ctrl + shift + z</t>
    <phoneticPr fontId="1" type="noConversion"/>
  </si>
  <si>
    <t>Check list P&amp;ID (ECS-B)</t>
    <phoneticPr fontId="3" type="noConversion"/>
  </si>
  <si>
    <t>BALLAST PUMP</t>
    <phoneticPr fontId="3" type="noConversion"/>
  </si>
  <si>
    <t>m3/h</t>
    <phoneticPr fontId="3" type="noConversion"/>
  </si>
  <si>
    <t>SCH.40</t>
    <phoneticPr fontId="3" type="noConversion"/>
  </si>
  <si>
    <t>SCH.80</t>
    <phoneticPr fontId="3" type="noConversion"/>
  </si>
  <si>
    <t xml:space="preserve"> </t>
    <phoneticPr fontId="1" type="noConversion"/>
  </si>
  <si>
    <t>N.D</t>
    <phoneticPr fontId="3" type="noConversion"/>
  </si>
  <si>
    <t>O.D</t>
    <phoneticPr fontId="3" type="noConversion"/>
  </si>
  <si>
    <t>T</t>
    <phoneticPr fontId="16" type="noConversion"/>
  </si>
  <si>
    <t>I.D</t>
    <phoneticPr fontId="16" type="noConversion"/>
  </si>
  <si>
    <t>EA</t>
    <phoneticPr fontId="3" type="noConversion"/>
  </si>
  <si>
    <t>mm</t>
    <phoneticPr fontId="3" type="noConversion"/>
  </si>
  <si>
    <t>m/s</t>
    <phoneticPr fontId="3" type="noConversion"/>
  </si>
  <si>
    <t>Mixing P/P =B/P x 0.043</t>
    <phoneticPr fontId="1" type="noConversion"/>
  </si>
  <si>
    <t>VJAVM</t>
    <phoneticPr fontId="1" type="noConversion"/>
  </si>
  <si>
    <t>Mixing point</t>
    <phoneticPr fontId="1" type="noConversion"/>
  </si>
  <si>
    <t>Branch</t>
    <phoneticPr fontId="1" type="noConversion"/>
  </si>
  <si>
    <t xml:space="preserve">32A </t>
    <phoneticPr fontId="1" type="noConversion"/>
  </si>
  <si>
    <t>반지름</t>
    <phoneticPr fontId="1" type="noConversion"/>
  </si>
  <si>
    <t>mm3</t>
    <phoneticPr fontId="1" type="noConversion"/>
  </si>
  <si>
    <t>m3</t>
    <phoneticPr fontId="1" type="noConversion"/>
  </si>
  <si>
    <t>MANIFOLD +PRU</t>
    <phoneticPr fontId="1" type="noConversion"/>
  </si>
  <si>
    <t>Min 배관(내경)</t>
    <phoneticPr fontId="3" type="noConversion"/>
  </si>
  <si>
    <t>(V18_Rev.A) 배관사이즈 계산</t>
    <phoneticPr fontId="3" type="noConversion"/>
  </si>
  <si>
    <t>배관 직경</t>
    <phoneticPr fontId="3" type="noConversion"/>
  </si>
  <si>
    <t>배관 사이즈 별 
유속</t>
    <phoneticPr fontId="3" type="noConversion"/>
  </si>
  <si>
    <t>PRU 개수</t>
    <phoneticPr fontId="3" type="noConversion"/>
  </si>
  <si>
    <t>&lt;-- 유속 3m3/h 계산</t>
    <phoneticPr fontId="1" type="noConversion"/>
  </si>
  <si>
    <t>필요 유량</t>
    <phoneticPr fontId="3" type="noConversion"/>
  </si>
  <si>
    <t xml:space="preserve">필요 배관(내경) 사이즈 : </t>
    <phoneticPr fontId="3" type="noConversion"/>
  </si>
  <si>
    <t>&lt;-배관 내 유속 3m/s 로 계산 했을 경우</t>
    <phoneticPr fontId="3" type="noConversion"/>
  </si>
  <si>
    <t>&lt;-배관 내 유속 1.5m/s 로 계산 했을 경우</t>
    <phoneticPr fontId="3" type="noConversion"/>
  </si>
  <si>
    <t>FCV 배관(내경) 사이즈</t>
    <phoneticPr fontId="3" type="noConversion"/>
  </si>
  <si>
    <t>PRU수량</t>
    <phoneticPr fontId="3" type="noConversion"/>
  </si>
  <si>
    <t>PRU수량
(Q'TY)</t>
  </si>
  <si>
    <t>** Mixing pump는 Ballast pump 보다 압력은 크게, FCV는 유속은 느리게 사이즈 선정</t>
    <phoneticPr fontId="1" type="noConversion"/>
  </si>
  <si>
    <t>지름(D)</t>
    <phoneticPr fontId="1" type="noConversion"/>
  </si>
  <si>
    <t>단면적 (파이알제곱)</t>
    <phoneticPr fontId="1" type="noConversion"/>
  </si>
  <si>
    <t>ECU1000B MANIFOLD 길이</t>
    <phoneticPr fontId="1" type="noConversion"/>
  </si>
  <si>
    <t xml:space="preserve">부피 </t>
    <phoneticPr fontId="1" type="noConversion"/>
  </si>
  <si>
    <t>ECU60B MANIFOLD 길이</t>
    <phoneticPr fontId="1" type="noConversion"/>
  </si>
  <si>
    <t>ECU1000B MANIFOLD 부피(4개)</t>
    <phoneticPr fontId="1" type="noConversion"/>
  </si>
  <si>
    <t>ECU600B MANIFOLD 부피(2개)</t>
    <phoneticPr fontId="1" type="noConversion"/>
  </si>
  <si>
    <t>ECS</t>
    <phoneticPr fontId="1" type="noConversion"/>
  </si>
  <si>
    <r>
      <rPr>
        <sz val="10"/>
        <color rgb="FFFF0000"/>
        <rFont val="맑은 고딕"/>
        <family val="3"/>
        <charset val="129"/>
        <scheme val="minor"/>
      </rPr>
      <t>실열발생량</t>
    </r>
    <r>
      <rPr>
        <sz val="10"/>
        <color theme="1"/>
        <rFont val="맑은 고딕"/>
        <family val="3"/>
        <charset val="129"/>
        <scheme val="minor"/>
      </rPr>
      <t xml:space="preserve">
(Kcal)</t>
    </r>
    <phoneticPr fontId="1" type="noConversion"/>
  </si>
  <si>
    <t>유량</t>
    <phoneticPr fontId="1" type="noConversion"/>
  </si>
  <si>
    <t>필요한 중화제
(유량/31.25)</t>
    <phoneticPr fontId="1" type="noConversion"/>
  </si>
  <si>
    <t>펌프갯수
(유량/1500)</t>
    <phoneticPr fontId="1" type="noConversion"/>
  </si>
  <si>
    <t>필요펌프수</t>
    <phoneticPr fontId="1" type="noConversion"/>
  </si>
  <si>
    <t>~</t>
    <phoneticPr fontId="1" type="noConversion"/>
  </si>
  <si>
    <t>CSU를 T-STRAINER 후단으로 적용 하였는가</t>
    <phoneticPr fontId="1" type="noConversion"/>
  </si>
  <si>
    <t>Mixing pump의 Air ejector는 S.W.H.TK가 A.P.TK 일 경우 미적용, Double Bottom Tank 일 경우 적용 할 것</t>
    <phoneticPr fontId="1" type="noConversion"/>
  </si>
  <si>
    <t>65A</t>
    <phoneticPr fontId="1" type="noConversion"/>
  </si>
  <si>
    <t>80A</t>
    <phoneticPr fontId="1" type="noConversion"/>
  </si>
  <si>
    <t>100A</t>
    <phoneticPr fontId="1" type="noConversion"/>
  </si>
  <si>
    <t>125A</t>
    <phoneticPr fontId="1" type="noConversion"/>
  </si>
  <si>
    <t>150A</t>
    <phoneticPr fontId="1" type="noConversion"/>
  </si>
  <si>
    <t>200A</t>
    <phoneticPr fontId="1" type="noConversion"/>
  </si>
  <si>
    <t>250A</t>
    <phoneticPr fontId="1" type="noConversion"/>
  </si>
  <si>
    <t>배관 직경 N.D</t>
    <phoneticPr fontId="1" type="noConversion"/>
  </si>
  <si>
    <t>50A</t>
    <phoneticPr fontId="1" type="noConversion"/>
  </si>
  <si>
    <t>`</t>
    <phoneticPr fontId="1" type="noConversion"/>
  </si>
  <si>
    <t>Mixing pump 
(m3/h)</t>
    <phoneticPr fontId="1" type="noConversion"/>
  </si>
  <si>
    <t>Mixing pump 
Flange size</t>
    <phoneticPr fontId="1" type="noConversion"/>
  </si>
  <si>
    <t>10K-40A</t>
    <phoneticPr fontId="1" type="noConversion"/>
  </si>
  <si>
    <t>10K-50A</t>
    <phoneticPr fontId="1" type="noConversion"/>
  </si>
  <si>
    <t>10K-65A</t>
    <phoneticPr fontId="1" type="noConversion"/>
  </si>
  <si>
    <t>10K-80A</t>
    <phoneticPr fontId="1" type="noConversion"/>
  </si>
  <si>
    <r>
      <t>5K-125A</t>
    </r>
    <r>
      <rPr>
        <sz val="10"/>
        <color theme="1" tint="0.499984740745262"/>
        <rFont val="맑은 고딕"/>
        <family val="3"/>
        <charset val="129"/>
        <scheme val="minor"/>
      </rPr>
      <t>(25,30,35mTH)</t>
    </r>
    <r>
      <rPr>
        <sz val="10"/>
        <color theme="1"/>
        <rFont val="맑은 고딕"/>
        <family val="3"/>
        <charset val="129"/>
        <scheme val="minor"/>
      </rPr>
      <t xml:space="preserve">
5K/10K-125A</t>
    </r>
    <r>
      <rPr>
        <sz val="10"/>
        <color theme="1" tint="0.499984740745262"/>
        <rFont val="맑은 고딕"/>
        <family val="3"/>
        <charset val="129"/>
        <scheme val="minor"/>
      </rPr>
      <t>(40mTH)</t>
    </r>
    <phoneticPr fontId="1" type="noConversion"/>
  </si>
  <si>
    <t>5K-125A(25,30,35mTH)
5K/10K-125A(40mTH)</t>
  </si>
  <si>
    <t>5K-125A(25,30mTH)
5K/10K-125A(35,40mTH)</t>
  </si>
  <si>
    <t>표준자료 없음</t>
    <phoneticPr fontId="1" type="noConversion"/>
  </si>
  <si>
    <t xml:space="preserve">유속 : 2.2 m/s 기준 (가까운 값으로 선정함) </t>
    <phoneticPr fontId="1" type="noConversion"/>
  </si>
  <si>
    <t xml:space="preserve">e </t>
    <phoneticPr fontId="1" type="noConversion"/>
  </si>
  <si>
    <t>1.77m/s이 맞으나, mixing pump 사이즈와 3단계 차이나므로, 100A로 선정함</t>
    <phoneticPr fontId="1" type="noConversion"/>
  </si>
  <si>
    <t xml:space="preserve">MIXING PIPE LINE SIZE 기준 </t>
    <phoneticPr fontId="1" type="noConversion"/>
  </si>
  <si>
    <t>2024.11.06</t>
    <phoneticPr fontId="1" type="noConversion"/>
  </si>
  <si>
    <r>
      <t xml:space="preserve">PRU </t>
    </r>
    <r>
      <rPr>
        <b/>
        <sz val="18"/>
        <color theme="0"/>
        <rFont val="돋움"/>
        <family val="3"/>
        <charset val="129"/>
      </rPr>
      <t>발열량</t>
    </r>
    <phoneticPr fontId="1" type="noConversion"/>
  </si>
  <si>
    <t>1PSU / 15℃</t>
  </si>
  <si>
    <r>
      <t>2012</t>
    </r>
    <r>
      <rPr>
        <sz val="11"/>
        <color theme="1"/>
        <rFont val="맑은 고딕"/>
        <family val="3"/>
        <charset val="129"/>
      </rPr>
      <t>년</t>
    </r>
    <r>
      <rPr>
        <sz val="11"/>
        <color theme="1"/>
        <rFont val="Adobe Fan Heiti Std B"/>
        <family val="2"/>
        <charset val="128"/>
      </rPr>
      <t xml:space="preserve"> 03</t>
    </r>
    <r>
      <rPr>
        <sz val="11"/>
        <color theme="1"/>
        <rFont val="맑은 고딕"/>
        <family val="3"/>
        <charset val="129"/>
      </rPr>
      <t>월</t>
    </r>
    <r>
      <rPr>
        <sz val="11"/>
        <color theme="1"/>
        <rFont val="Adobe Fan Heiti Std B"/>
        <family val="2"/>
        <charset val="128"/>
      </rPr>
      <t>15</t>
    </r>
    <r>
      <rPr>
        <sz val="11"/>
        <color theme="1"/>
        <rFont val="맑은 고딕"/>
        <family val="3"/>
        <charset val="129"/>
      </rPr>
      <t>일</t>
    </r>
    <r>
      <rPr>
        <sz val="11"/>
        <color theme="1"/>
        <rFont val="Adobe Fan Heiti Std B"/>
        <family val="2"/>
        <charset val="128"/>
      </rPr>
      <t xml:space="preserve"> </t>
    </r>
    <r>
      <rPr>
        <sz val="11"/>
        <color theme="1"/>
        <rFont val="맑은 고딕"/>
        <family val="3"/>
        <charset val="129"/>
      </rPr>
      <t>작성</t>
    </r>
    <r>
      <rPr>
        <sz val="11"/>
        <color theme="1"/>
        <rFont val="Adobe Fan Heiti Std B"/>
        <family val="2"/>
        <charset val="128"/>
      </rPr>
      <t xml:space="preserve"> </t>
    </r>
    <r>
      <rPr>
        <sz val="11"/>
        <color theme="1"/>
        <rFont val="맑은 고딕"/>
        <family val="3"/>
        <charset val="129"/>
      </rPr>
      <t>기준</t>
    </r>
  </si>
  <si>
    <r>
      <t>PRU</t>
    </r>
    <r>
      <rPr>
        <b/>
        <sz val="11"/>
        <color theme="1"/>
        <rFont val="맑은 고딕"/>
        <family val="3"/>
        <charset val="129"/>
      </rPr>
      <t xml:space="preserve">수량
</t>
    </r>
    <r>
      <rPr>
        <b/>
        <sz val="11"/>
        <color theme="1"/>
        <rFont val="Adobe Fan Heiti Std B"/>
        <family val="2"/>
        <charset val="128"/>
      </rPr>
      <t>(Q'TY)</t>
    </r>
  </si>
  <si>
    <r>
      <rPr>
        <b/>
        <sz val="11"/>
        <color theme="1"/>
        <rFont val="맑은 고딕"/>
        <family val="3"/>
        <charset val="129"/>
      </rPr>
      <t xml:space="preserve">총열발생량
</t>
    </r>
    <r>
      <rPr>
        <b/>
        <sz val="11"/>
        <color theme="1"/>
        <rFont val="Adobe Fan Heiti Std B"/>
        <family val="2"/>
        <charset val="128"/>
      </rPr>
      <t>(Kcal)</t>
    </r>
  </si>
  <si>
    <r>
      <rPr>
        <b/>
        <sz val="11"/>
        <rFont val="맑은 고딕"/>
        <family val="3"/>
        <charset val="129"/>
      </rPr>
      <t xml:space="preserve">대기방출열량
</t>
    </r>
    <r>
      <rPr>
        <b/>
        <sz val="11"/>
        <rFont val="Adobe Fan Heiti Std B"/>
        <family val="2"/>
        <charset val="128"/>
      </rPr>
      <t>(Kcal)</t>
    </r>
    <phoneticPr fontId="1" type="noConversion"/>
  </si>
  <si>
    <r>
      <rPr>
        <b/>
        <sz val="11"/>
        <rFont val="맑은 고딕"/>
        <family val="3"/>
        <charset val="129"/>
      </rPr>
      <t xml:space="preserve">실열발생량
</t>
    </r>
    <r>
      <rPr>
        <b/>
        <sz val="11"/>
        <rFont val="Adobe Fan Heiti Std B"/>
        <family val="2"/>
        <charset val="128"/>
      </rPr>
      <t>(Kcal)</t>
    </r>
    <phoneticPr fontId="1" type="noConversion"/>
  </si>
  <si>
    <r>
      <rPr>
        <b/>
        <sz val="11"/>
        <rFont val="맑은 고딕"/>
        <family val="3"/>
        <charset val="129"/>
      </rPr>
      <t>냉각수</t>
    </r>
    <r>
      <rPr>
        <b/>
        <sz val="11"/>
        <rFont val="Adobe Fan Heiti Std B"/>
        <family val="2"/>
        <charset val="128"/>
      </rPr>
      <t xml:space="preserve">  </t>
    </r>
    <r>
      <rPr>
        <b/>
        <sz val="11"/>
        <rFont val="맑은 고딕"/>
        <family val="3"/>
        <charset val="129"/>
      </rPr>
      <t xml:space="preserve">유량
</t>
    </r>
    <r>
      <rPr>
        <b/>
        <sz val="11"/>
        <rFont val="Adobe Fan Heiti Std B"/>
        <family val="2"/>
        <charset val="128"/>
      </rPr>
      <t>(m3/hr)</t>
    </r>
    <phoneticPr fontId="1" type="noConversion"/>
  </si>
  <si>
    <t>PDE
(Q'TY)</t>
  </si>
  <si>
    <r>
      <rPr>
        <b/>
        <sz val="11"/>
        <rFont val="맑은 고딕"/>
        <family val="3"/>
        <charset val="129"/>
      </rPr>
      <t xml:space="preserve">대기방출열량
</t>
    </r>
    <r>
      <rPr>
        <b/>
        <sz val="11"/>
        <rFont val="Adobe Fan Heiti Std B"/>
        <family val="2"/>
        <charset val="128"/>
      </rPr>
      <t>(Kcal)</t>
    </r>
  </si>
  <si>
    <r>
      <t xml:space="preserve"> - </t>
    </r>
    <r>
      <rPr>
        <b/>
        <sz val="11"/>
        <color rgb="FFFF0000"/>
        <rFont val="맑은 고딕"/>
        <family val="3"/>
        <charset val="129"/>
      </rPr>
      <t>실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>열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>발생량을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>제출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>할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 xml:space="preserve">것
</t>
    </r>
    <r>
      <rPr>
        <b/>
        <sz val="11"/>
        <color rgb="FFFF0000"/>
        <rFont val="Adobe Fan Heiti Std B"/>
        <family val="2"/>
        <charset val="128"/>
      </rPr>
      <t xml:space="preserve"> - kW</t>
    </r>
    <r>
      <rPr>
        <b/>
        <sz val="11"/>
        <color rgb="FFFF0000"/>
        <rFont val="맑은 고딕"/>
        <family val="3"/>
        <charset val="129"/>
      </rPr>
      <t>로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>제출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>필요할때는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>나누기</t>
    </r>
    <r>
      <rPr>
        <b/>
        <sz val="11"/>
        <color rgb="FFFF0000"/>
        <rFont val="Adobe Fan Heiti Std B"/>
        <family val="2"/>
        <charset val="128"/>
      </rPr>
      <t xml:space="preserve"> 860 </t>
    </r>
    <r>
      <rPr>
        <b/>
        <sz val="11"/>
        <color rgb="FFFF0000"/>
        <rFont val="맑은 고딕"/>
        <family val="3"/>
        <charset val="129"/>
      </rPr>
      <t>할</t>
    </r>
    <r>
      <rPr>
        <b/>
        <sz val="11"/>
        <color rgb="FFFF0000"/>
        <rFont val="Adobe Fan Heiti Std B"/>
        <family val="2"/>
        <charset val="128"/>
      </rPr>
      <t xml:space="preserve"> </t>
    </r>
    <r>
      <rPr>
        <b/>
        <sz val="11"/>
        <color rgb="FFFF0000"/>
        <rFont val="맑은 고딕"/>
        <family val="3"/>
        <charset val="129"/>
      </rPr>
      <t xml:space="preserve">것
</t>
    </r>
    <r>
      <rPr>
        <b/>
        <sz val="11"/>
        <color rgb="FFFF0000"/>
        <rFont val="Adobe Fan Heiti Std B"/>
        <family val="2"/>
        <charset val="128"/>
      </rPr>
      <t xml:space="preserve">   ( 1kW = 860kcal)</t>
    </r>
    <phoneticPr fontId="1" type="noConversion"/>
  </si>
  <si>
    <t xml:space="preserve">1) 다운사이징 전 FMU 유속 3m/s에 맞게 적용 할 것 (재고파악필요) 
2) 다운사이징 시, FMU는 사이즈는 배관 유속을 5m/s (최대 7m/s 이내)에 맞게 고려하여 적용 할 것  (재고파악필요)
◎ 다운사이징 기준 
    - 1단계 사이즈가 300A(포함) 이상인 경우 → 2단계 다운사이즈 적용 
    - 1단계 사이즈가 250A(포함) 이하인 경우 → 1단계 다운사이즈 적용 
    - 1단계 사이즈가 150A(포함) 이하인 경우 → 다운사이즈 미적용 
3) 재고 사용이 1순위 </t>
    <phoneticPr fontId="1" type="noConversion"/>
  </si>
  <si>
    <t>(Ver.25.00)</t>
    <phoneticPr fontId="1" type="noConversion"/>
  </si>
  <si>
    <t xml:space="preserve">SKID 내에 FMU 포함되는 경우, FMU를 ECU 전단으로 위치시키고 다운사이징 미적용(직관 2D/1D 적용).
아래 MIXING 10번 란과 같이 Mixing point 5D 이격 확인하였는가? </t>
    <phoneticPr fontId="1" type="noConversion"/>
  </si>
  <si>
    <t>2025년 1월 7일 추가</t>
    <phoneticPr fontId="1" type="noConversion"/>
  </si>
  <si>
    <t>MIXING : MIXING POINT와 CSU가 가까울 때, MIN. 5D 기입하였는가</t>
    <phoneticPr fontId="1" type="noConversion"/>
  </si>
  <si>
    <t>2025년 1월 16일 추가</t>
    <phoneticPr fontId="1" type="noConversion"/>
  </si>
  <si>
    <t>GDS</t>
    <phoneticPr fontId="1" type="noConversion"/>
  </si>
  <si>
    <t>GASDNA사 제품 적용하였는가</t>
    <phoneticPr fontId="1" type="noConversion"/>
  </si>
  <si>
    <r>
      <t xml:space="preserve">2025.01.23 
</t>
    </r>
    <r>
      <rPr>
        <sz val="12"/>
        <color theme="1"/>
        <rFont val="맑은 고딕"/>
        <family val="3"/>
        <charset val="129"/>
        <scheme val="major"/>
      </rPr>
      <t xml:space="preserve">Gas carrier관련 특이사항 삭제
※삭제된 특이사항※
</t>
    </r>
    <r>
      <rPr>
        <sz val="11"/>
        <color theme="1"/>
        <rFont val="맑은 고딕"/>
        <family val="3"/>
        <charset val="129"/>
        <scheme val="major"/>
      </rPr>
      <t xml:space="preserve">GAS DETECTING IN INTER BARRIER SPACE (GAS:DETECTION - SIGNAL:ON)
</t>
    </r>
    <phoneticPr fontId="1" type="noConversion"/>
  </si>
  <si>
    <t xml:space="preserve">VCU 미적용임을 확인 하였는가 (A/S Mixing 추가시에는 옵션으로 적용해야함 - AS팀 요구사항) </t>
    <phoneticPr fontId="1" type="noConversion"/>
  </si>
  <si>
    <t>2025년 5월 26일 추가</t>
    <phoneticPr fontId="1" type="noConversion"/>
  </si>
  <si>
    <t>SUBMERSIBLE MIXING PUMP 일 때, PI 삭제.</t>
    <phoneticPr fontId="1" type="noConversion"/>
  </si>
  <si>
    <t>BRANCH LINE 유량 계산</t>
    <phoneticPr fontId="1" type="noConversion"/>
  </si>
  <si>
    <t>Ballast main line  유속</t>
    <phoneticPr fontId="1" type="noConversion"/>
  </si>
  <si>
    <t>m/s</t>
  </si>
  <si>
    <t>Ballast main line  유량</t>
    <phoneticPr fontId="1" type="noConversion"/>
  </si>
  <si>
    <t>main line  배관 사이즈</t>
    <phoneticPr fontId="1" type="noConversion"/>
  </si>
  <si>
    <t>mm</t>
    <phoneticPr fontId="1" type="noConversion"/>
  </si>
  <si>
    <t>m3/s</t>
    <phoneticPr fontId="1" type="noConversion"/>
  </si>
  <si>
    <t>예상 BRANCH LINE 유량</t>
    <phoneticPr fontId="1" type="noConversion"/>
  </si>
  <si>
    <t>BRANCH LINE 사이즈</t>
    <phoneticPr fontId="1" type="noConversion"/>
  </si>
  <si>
    <t>SCH.40</t>
  </si>
  <si>
    <t>SCH.80</t>
    <phoneticPr fontId="1" type="noConversion"/>
  </si>
  <si>
    <t>필요 BRANCH LINE 유량</t>
    <phoneticPr fontId="1" type="noConversion"/>
  </si>
  <si>
    <t>적정 여부</t>
    <phoneticPr fontId="1" type="noConversion"/>
  </si>
  <si>
    <t xml:space="preserve"> % 환산 초과/부족 여부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</si>
</sst>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0_);[Red]\(0.00\)"/>
    <numFmt numFmtId="178" formatCode="0_ "/>
    <numFmt numFmtId="179" formatCode="0.0"/>
    <numFmt numFmtId="180" formatCode="#,##0_);[Red]\(#,##0\)"/>
  </numFmts>
  <fonts count="4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  <scheme val="major"/>
    </font>
    <font>
      <sz val="12"/>
      <color indexed="8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2"/>
      <name val="Calibri"/>
      <family val="3"/>
      <charset val="161"/>
    </font>
    <font>
      <b/>
      <sz val="12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ajor"/>
    </font>
    <font>
      <sz val="30"/>
      <color theme="1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1"/>
      <color theme="1"/>
      <name val="Adobe Fan Heiti Std B"/>
      <family val="2"/>
      <charset val="128"/>
    </font>
    <font>
      <b/>
      <sz val="18"/>
      <color theme="0"/>
      <name val="Adobe Fan Heiti Std B"/>
      <family val="2"/>
      <charset val="128"/>
    </font>
    <font>
      <b/>
      <sz val="18"/>
      <color theme="0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Adobe Fan Heiti Std B"/>
      <family val="2"/>
      <charset val="128"/>
    </font>
    <font>
      <b/>
      <sz val="11"/>
      <color theme="1"/>
      <name val="맑은 고딕"/>
      <family val="3"/>
      <charset val="129"/>
    </font>
    <font>
      <b/>
      <sz val="11"/>
      <name val="Adobe Fan Heiti Std B"/>
      <family val="2"/>
      <charset val="128"/>
    </font>
    <font>
      <b/>
      <sz val="11"/>
      <name val="맑은 고딕"/>
      <family val="3"/>
      <charset val="129"/>
    </font>
    <font>
      <b/>
      <sz val="11"/>
      <color rgb="FFFF0000"/>
      <name val="Adobe Fan Heiti Std B"/>
      <family val="2"/>
      <charset val="128"/>
    </font>
    <font>
      <b/>
      <sz val="11"/>
      <color rgb="FFFF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1FFD6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 diagonalDown="1"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 style="medium">
        <color rgb="FFFF0000"/>
      </diagonal>
    </border>
  </borders>
  <cellStyleXfs count="2">
    <xf numFmtId="0" fontId="0" fillId="0" borderId="0">
      <alignment vertical="center"/>
    </xf>
    <xf numFmtId="0" fontId="17" fillId="0" borderId="0">
      <alignment vertical="center"/>
    </xf>
  </cellStyleXfs>
  <cellXfs count="223">
    <xf numFmtId="0" fontId="0" fillId="0" borderId="0" xfId="0">
      <alignment vertical="center"/>
    </xf>
    <xf numFmtId="0" fontId="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4" fillId="3" borderId="1" xfId="0" quotePrefix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vertical="center" wrapText="1"/>
    </xf>
    <xf numFmtId="0" fontId="7" fillId="0" borderId="1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quotePrefix="1" applyFont="1" applyFill="1" applyBorder="1" applyAlignment="1">
      <alignment vertical="center" wrapText="1"/>
    </xf>
    <xf numFmtId="0" fontId="12" fillId="2" borderId="1" xfId="0" applyFont="1" applyFill="1" applyBorder="1" applyAlignment="1">
      <alignment vertical="center" wrapText="1"/>
    </xf>
    <xf numFmtId="0" fontId="14" fillId="2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vertical="center" wrapText="1"/>
    </xf>
    <xf numFmtId="0" fontId="2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right" vertical="center"/>
    </xf>
    <xf numFmtId="0" fontId="20" fillId="2" borderId="0" xfId="0" applyFont="1" applyFill="1">
      <alignment vertical="center"/>
    </xf>
    <xf numFmtId="0" fontId="20" fillId="2" borderId="0" xfId="0" applyFont="1" applyFill="1" applyAlignment="1">
      <alignment horizontal="center" vertical="center"/>
    </xf>
    <xf numFmtId="0" fontId="22" fillId="2" borderId="0" xfId="0" applyFont="1" applyFill="1">
      <alignment vertical="center"/>
    </xf>
    <xf numFmtId="0" fontId="20" fillId="2" borderId="5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2" borderId="15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23" fillId="2" borderId="1" xfId="0" applyFont="1" applyFill="1" applyBorder="1">
      <alignment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0" fontId="23" fillId="2" borderId="13" xfId="0" applyFont="1" applyFill="1" applyBorder="1" applyAlignment="1">
      <alignment horizontal="center" vertical="center"/>
    </xf>
    <xf numFmtId="0" fontId="20" fillId="7" borderId="0" xfId="0" applyFont="1" applyFill="1">
      <alignment vertical="center"/>
    </xf>
    <xf numFmtId="0" fontId="20" fillId="2" borderId="1" xfId="0" applyFont="1" applyFill="1" applyBorder="1">
      <alignment vertical="center"/>
    </xf>
    <xf numFmtId="0" fontId="22" fillId="2" borderId="1" xfId="0" applyFont="1" applyFill="1" applyBorder="1">
      <alignment vertical="center"/>
    </xf>
    <xf numFmtId="176" fontId="20" fillId="2" borderId="1" xfId="0" applyNumberFormat="1" applyFont="1" applyFill="1" applyBorder="1" applyAlignment="1">
      <alignment horizontal="right" vertical="center"/>
    </xf>
    <xf numFmtId="0" fontId="18" fillId="8" borderId="1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/>
    </xf>
    <xf numFmtId="0" fontId="18" fillId="8" borderId="11" xfId="0" applyFont="1" applyFill="1" applyBorder="1" applyAlignment="1">
      <alignment horizontal="center" vertical="center"/>
    </xf>
    <xf numFmtId="0" fontId="19" fillId="8" borderId="12" xfId="0" applyFont="1" applyFill="1" applyBorder="1" applyAlignment="1">
      <alignment horizontal="center" vertical="center"/>
    </xf>
    <xf numFmtId="0" fontId="19" fillId="8" borderId="11" xfId="0" applyFont="1" applyFill="1" applyBorder="1" applyAlignment="1">
      <alignment horizontal="center" vertical="center"/>
    </xf>
    <xf numFmtId="177" fontId="23" fillId="9" borderId="13" xfId="0" applyNumberFormat="1" applyFont="1" applyFill="1" applyBorder="1" applyAlignment="1">
      <alignment horizontal="right" vertical="center"/>
    </xf>
    <xf numFmtId="0" fontId="23" fillId="9" borderId="14" xfId="0" applyFont="1" applyFill="1" applyBorder="1">
      <alignment vertical="center"/>
    </xf>
    <xf numFmtId="0" fontId="20" fillId="9" borderId="13" xfId="0" applyFont="1" applyFill="1" applyBorder="1" applyAlignment="1">
      <alignment horizontal="center" vertical="center"/>
    </xf>
    <xf numFmtId="0" fontId="20" fillId="9" borderId="16" xfId="0" applyFont="1" applyFill="1" applyBorder="1" applyAlignment="1">
      <alignment horizontal="center" vertical="center"/>
    </xf>
    <xf numFmtId="0" fontId="20" fillId="9" borderId="14" xfId="0" applyFont="1" applyFill="1" applyBorder="1">
      <alignment vertical="center"/>
    </xf>
    <xf numFmtId="0" fontId="20" fillId="9" borderId="13" xfId="0" applyFont="1" applyFill="1" applyBorder="1">
      <alignment vertical="center"/>
    </xf>
    <xf numFmtId="176" fontId="20" fillId="9" borderId="16" xfId="0" applyNumberFormat="1" applyFont="1" applyFill="1" applyBorder="1" applyAlignment="1">
      <alignment horizontal="center" vertical="center"/>
    </xf>
    <xf numFmtId="177" fontId="23" fillId="10" borderId="13" xfId="0" applyNumberFormat="1" applyFont="1" applyFill="1" applyBorder="1" applyAlignment="1">
      <alignment horizontal="right" vertical="center"/>
    </xf>
    <xf numFmtId="0" fontId="23" fillId="10" borderId="14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0" borderId="1" xfId="0" applyFont="1" applyFill="1" applyBorder="1" applyAlignment="1">
      <alignment horizontal="center" vertical="center"/>
    </xf>
    <xf numFmtId="0" fontId="22" fillId="10" borderId="1" xfId="0" applyFont="1" applyFill="1" applyBorder="1">
      <alignment vertical="center"/>
    </xf>
    <xf numFmtId="176" fontId="20" fillId="10" borderId="1" xfId="0" applyNumberFormat="1" applyFont="1" applyFill="1" applyBorder="1" applyAlignment="1">
      <alignment horizontal="right" vertical="center"/>
    </xf>
    <xf numFmtId="0" fontId="23" fillId="2" borderId="0" xfId="0" applyFont="1" applyFill="1">
      <alignment vertical="center"/>
    </xf>
    <xf numFmtId="0" fontId="23" fillId="11" borderId="5" xfId="0" applyFont="1" applyFill="1" applyBorder="1" applyAlignment="1">
      <alignment horizontal="center" vertical="center"/>
    </xf>
    <xf numFmtId="0" fontId="23" fillId="11" borderId="15" xfId="0" applyFont="1" applyFill="1" applyBorder="1" applyAlignment="1">
      <alignment horizontal="center" vertical="center"/>
    </xf>
    <xf numFmtId="2" fontId="23" fillId="11" borderId="15" xfId="0" applyNumberFormat="1" applyFont="1" applyFill="1" applyBorder="1" applyAlignment="1">
      <alignment horizontal="center" vertical="center"/>
    </xf>
    <xf numFmtId="0" fontId="20" fillId="11" borderId="9" xfId="1" applyFont="1" applyFill="1" applyBorder="1" applyAlignment="1">
      <alignment horizontal="center" vertical="center"/>
    </xf>
    <xf numFmtId="178" fontId="20" fillId="0" borderId="10" xfId="1" applyNumberFormat="1" applyFont="1" applyBorder="1" applyAlignment="1">
      <alignment horizontal="center" vertical="center"/>
    </xf>
    <xf numFmtId="0" fontId="20" fillId="11" borderId="11" xfId="1" applyFont="1" applyFill="1" applyBorder="1" applyAlignment="1">
      <alignment horizontal="center" vertical="center"/>
    </xf>
    <xf numFmtId="178" fontId="20" fillId="0" borderId="12" xfId="1" applyNumberFormat="1" applyFont="1" applyBorder="1" applyAlignment="1">
      <alignment horizontal="center" vertical="center"/>
    </xf>
    <xf numFmtId="0" fontId="26" fillId="12" borderId="24" xfId="0" applyFont="1" applyFill="1" applyBorder="1" applyAlignment="1">
      <alignment horizontal="center" vertical="center"/>
    </xf>
    <xf numFmtId="0" fontId="26" fillId="12" borderId="25" xfId="0" applyFont="1" applyFill="1" applyBorder="1" applyAlignment="1">
      <alignment horizontal="center" vertical="center"/>
    </xf>
    <xf numFmtId="0" fontId="26" fillId="12" borderId="26" xfId="0" applyFont="1" applyFill="1" applyBorder="1" applyAlignment="1">
      <alignment horizontal="center" vertical="center"/>
    </xf>
    <xf numFmtId="0" fontId="26" fillId="12" borderId="27" xfId="0" applyFont="1" applyFill="1" applyBorder="1" applyAlignment="1">
      <alignment horizontal="center" vertical="center"/>
    </xf>
    <xf numFmtId="0" fontId="26" fillId="12" borderId="28" xfId="0" applyFont="1" applyFill="1" applyBorder="1" applyAlignment="1">
      <alignment horizontal="center" vertical="center"/>
    </xf>
    <xf numFmtId="0" fontId="26" fillId="12" borderId="23" xfId="0" applyFont="1" applyFill="1" applyBorder="1" applyAlignment="1">
      <alignment horizontal="center" vertical="center"/>
    </xf>
    <xf numFmtId="179" fontId="26" fillId="12" borderId="24" xfId="0" applyNumberFormat="1" applyFont="1" applyFill="1" applyBorder="1" applyAlignment="1">
      <alignment horizontal="center" vertical="center"/>
    </xf>
    <xf numFmtId="2" fontId="26" fillId="12" borderId="23" xfId="0" applyNumberFormat="1" applyFont="1" applyFill="1" applyBorder="1" applyAlignment="1">
      <alignment horizontal="center" vertical="center"/>
    </xf>
    <xf numFmtId="2" fontId="26" fillId="12" borderId="25" xfId="0" applyNumberFormat="1" applyFont="1" applyFill="1" applyBorder="1" applyAlignment="1">
      <alignment horizontal="center" vertical="center"/>
    </xf>
    <xf numFmtId="0" fontId="26" fillId="12" borderId="29" xfId="0" applyFont="1" applyFill="1" applyBorder="1" applyAlignment="1">
      <alignment horizontal="center" vertical="center"/>
    </xf>
    <xf numFmtId="0" fontId="26" fillId="12" borderId="0" xfId="0" applyFont="1" applyFill="1" applyAlignment="1">
      <alignment horizontal="center" vertical="center"/>
    </xf>
    <xf numFmtId="0" fontId="26" fillId="12" borderId="30" xfId="0" applyFont="1" applyFill="1" applyBorder="1" applyAlignment="1">
      <alignment horizontal="center" vertical="center"/>
    </xf>
    <xf numFmtId="179" fontId="26" fillId="12" borderId="0" xfId="0" applyNumberFormat="1" applyFont="1" applyFill="1" applyAlignment="1">
      <alignment horizontal="center" vertical="center"/>
    </xf>
    <xf numFmtId="2" fontId="26" fillId="12" borderId="29" xfId="0" applyNumberFormat="1" applyFont="1" applyFill="1" applyBorder="1" applyAlignment="1">
      <alignment horizontal="center" vertical="center"/>
    </xf>
    <xf numFmtId="2" fontId="26" fillId="12" borderId="30" xfId="0" applyNumberFormat="1" applyFont="1" applyFill="1" applyBorder="1" applyAlignment="1">
      <alignment horizontal="center" vertical="center"/>
    </xf>
    <xf numFmtId="179" fontId="26" fillId="12" borderId="27" xfId="0" applyNumberFormat="1" applyFont="1" applyFill="1" applyBorder="1" applyAlignment="1">
      <alignment horizontal="center" vertical="center"/>
    </xf>
    <xf numFmtId="2" fontId="26" fillId="12" borderId="26" xfId="0" applyNumberFormat="1" applyFont="1" applyFill="1" applyBorder="1" applyAlignment="1">
      <alignment horizontal="center" vertical="center"/>
    </xf>
    <xf numFmtId="2" fontId="26" fillId="12" borderId="28" xfId="0" applyNumberFormat="1" applyFont="1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177" fontId="23" fillId="0" borderId="31" xfId="0" applyNumberFormat="1" applyFont="1" applyBorder="1" applyAlignment="1">
      <alignment horizontal="center" vertical="center"/>
    </xf>
    <xf numFmtId="177" fontId="20" fillId="0" borderId="0" xfId="0" applyNumberFormat="1" applyFont="1">
      <alignment vertical="center"/>
    </xf>
    <xf numFmtId="177" fontId="23" fillId="0" borderId="0" xfId="0" applyNumberFormat="1" applyFont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0" fontId="20" fillId="11" borderId="32" xfId="0" applyFont="1" applyFill="1" applyBorder="1" applyAlignment="1">
      <alignment horizontal="center" vertical="center"/>
    </xf>
    <xf numFmtId="0" fontId="20" fillId="11" borderId="32" xfId="0" applyFont="1" applyFill="1" applyBorder="1" applyAlignment="1">
      <alignment horizontal="center" vertical="center" wrapText="1"/>
    </xf>
    <xf numFmtId="0" fontId="23" fillId="11" borderId="32" xfId="0" applyFont="1" applyFill="1" applyBorder="1" applyAlignment="1">
      <alignment horizontal="center" vertical="center" wrapText="1"/>
    </xf>
    <xf numFmtId="0" fontId="28" fillId="13" borderId="31" xfId="0" applyFont="1" applyFill="1" applyBorder="1" applyAlignment="1">
      <alignment horizontal="center" vertical="center"/>
    </xf>
    <xf numFmtId="177" fontId="23" fillId="0" borderId="36" xfId="0" applyNumberFormat="1" applyFont="1" applyBorder="1" applyAlignment="1">
      <alignment horizontal="center" vertical="center"/>
    </xf>
    <xf numFmtId="177" fontId="23" fillId="0" borderId="16" xfId="0" applyNumberFormat="1" applyFont="1" applyBorder="1" applyAlignment="1">
      <alignment horizontal="center" vertical="center"/>
    </xf>
    <xf numFmtId="177" fontId="23" fillId="0" borderId="37" xfId="0" applyNumberFormat="1" applyFont="1" applyBorder="1" applyAlignment="1">
      <alignment horizontal="center" vertical="center"/>
    </xf>
    <xf numFmtId="177" fontId="23" fillId="0" borderId="32" xfId="0" applyNumberFormat="1" applyFont="1" applyBorder="1" applyAlignment="1">
      <alignment horizontal="center" vertical="center"/>
    </xf>
    <xf numFmtId="177" fontId="23" fillId="0" borderId="38" xfId="0" applyNumberFormat="1" applyFont="1" applyBorder="1" applyAlignment="1">
      <alignment horizontal="center" vertical="center"/>
    </xf>
    <xf numFmtId="0" fontId="20" fillId="10" borderId="0" xfId="0" applyFont="1" applyFill="1">
      <alignment vertical="center"/>
    </xf>
    <xf numFmtId="177" fontId="23" fillId="0" borderId="39" xfId="0" applyNumberFormat="1" applyFont="1" applyBorder="1" applyAlignment="1">
      <alignment horizontal="center" vertical="center"/>
    </xf>
    <xf numFmtId="177" fontId="23" fillId="10" borderId="16" xfId="0" applyNumberFormat="1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29" fillId="0" borderId="35" xfId="0" applyFont="1" applyBorder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31" fillId="14" borderId="0" xfId="0" applyFont="1" applyFill="1">
      <alignment vertical="center"/>
    </xf>
    <xf numFmtId="0" fontId="30" fillId="0" borderId="0" xfId="1" applyFont="1">
      <alignment vertical="center"/>
    </xf>
    <xf numFmtId="0" fontId="30" fillId="0" borderId="0" xfId="1" applyFont="1" applyAlignment="1">
      <alignment horizontal="right" vertical="center"/>
    </xf>
    <xf numFmtId="0" fontId="34" fillId="6" borderId="1" xfId="1" applyFont="1" applyFill="1" applyBorder="1" applyAlignment="1">
      <alignment horizontal="center" vertical="center" wrapText="1"/>
    </xf>
    <xf numFmtId="180" fontId="36" fillId="6" borderId="1" xfId="1" applyNumberFormat="1" applyFont="1" applyFill="1" applyBorder="1" applyAlignment="1">
      <alignment horizontal="center" vertical="center" wrapText="1"/>
    </xf>
    <xf numFmtId="0" fontId="30" fillId="15" borderId="1" xfId="1" applyFont="1" applyFill="1" applyBorder="1" applyAlignment="1">
      <alignment horizontal="center" vertical="center"/>
    </xf>
    <xf numFmtId="178" fontId="30" fillId="0" borderId="1" xfId="1" applyNumberFormat="1" applyFont="1" applyBorder="1" applyAlignment="1">
      <alignment horizontal="center" vertical="center"/>
    </xf>
    <xf numFmtId="178" fontId="30" fillId="7" borderId="1" xfId="1" applyNumberFormat="1" applyFont="1" applyFill="1" applyBorder="1" applyAlignment="1">
      <alignment horizontal="center" vertical="center"/>
    </xf>
    <xf numFmtId="176" fontId="30" fillId="0" borderId="1" xfId="1" applyNumberFormat="1" applyFont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left" vertical="center" wrapText="1"/>
    </xf>
    <xf numFmtId="0" fontId="7" fillId="16" borderId="1" xfId="0" applyFont="1" applyFill="1" applyBorder="1" applyAlignment="1">
      <alignment horizontal="center" vertical="center" wrapText="1"/>
    </xf>
    <xf numFmtId="31" fontId="2" fillId="2" borderId="0" xfId="0" applyNumberFormat="1" applyFont="1" applyFill="1" applyAlignment="1">
      <alignment vertical="center" wrapText="1"/>
    </xf>
    <xf numFmtId="0" fontId="9" fillId="16" borderId="2" xfId="0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right" vertical="center"/>
    </xf>
    <xf numFmtId="0" fontId="20" fillId="9" borderId="0" xfId="0" applyFont="1" applyFill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right" vertical="center" wrapText="1"/>
    </xf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9" borderId="13" xfId="0" applyFont="1" applyFill="1" applyBorder="1" applyAlignment="1">
      <alignment horizontal="center" vertical="center"/>
    </xf>
    <xf numFmtId="0" fontId="20" fillId="9" borderId="14" xfId="0" applyFont="1" applyFill="1" applyBorder="1" applyAlignment="1">
      <alignment horizontal="center" vertical="center"/>
    </xf>
    <xf numFmtId="2" fontId="20" fillId="0" borderId="13" xfId="0" applyNumberFormat="1" applyFont="1" applyBorder="1" applyAlignment="1">
      <alignment horizontal="center" vertical="center"/>
    </xf>
    <xf numFmtId="2" fontId="20" fillId="0" borderId="14" xfId="0" applyNumberFormat="1" applyFont="1" applyBorder="1" applyAlignment="1">
      <alignment horizontal="center" vertical="center"/>
    </xf>
    <xf numFmtId="0" fontId="20" fillId="10" borderId="13" xfId="0" applyFont="1" applyFill="1" applyBorder="1" applyAlignment="1">
      <alignment horizontal="center" vertical="center"/>
    </xf>
    <xf numFmtId="0" fontId="20" fillId="10" borderId="14" xfId="0" applyFont="1" applyFill="1" applyBorder="1" applyAlignment="1">
      <alignment horizontal="center" vertical="center"/>
    </xf>
    <xf numFmtId="179" fontId="20" fillId="0" borderId="13" xfId="0" applyNumberFormat="1" applyFont="1" applyBorder="1" applyAlignment="1">
      <alignment horizontal="center" vertical="center"/>
    </xf>
    <xf numFmtId="179" fontId="20" fillId="0" borderId="14" xfId="0" applyNumberFormat="1" applyFont="1" applyBorder="1" applyAlignment="1">
      <alignment horizontal="center" vertical="center"/>
    </xf>
    <xf numFmtId="0" fontId="20" fillId="17" borderId="6" xfId="0" applyFont="1" applyFill="1" applyBorder="1" applyAlignment="1">
      <alignment horizontal="center" vertical="center"/>
    </xf>
    <xf numFmtId="0" fontId="20" fillId="17" borderId="7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20" fillId="17" borderId="11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0" fillId="17" borderId="12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/>
    </xf>
    <xf numFmtId="0" fontId="20" fillId="6" borderId="6" xfId="1" applyFont="1" applyFill="1" applyBorder="1" applyAlignment="1">
      <alignment horizontal="center" vertical="center" wrapText="1"/>
    </xf>
    <xf numFmtId="0" fontId="20" fillId="6" borderId="9" xfId="1" applyFont="1" applyFill="1" applyBorder="1" applyAlignment="1">
      <alignment horizontal="center" vertical="center" wrapText="1"/>
    </xf>
    <xf numFmtId="0" fontId="20" fillId="6" borderId="8" xfId="1" applyFont="1" applyFill="1" applyBorder="1" applyAlignment="1">
      <alignment horizontal="center" vertical="center" wrapText="1"/>
    </xf>
    <xf numFmtId="0" fontId="20" fillId="6" borderId="10" xfId="1" applyFont="1" applyFill="1" applyBorder="1" applyAlignment="1">
      <alignment horizontal="center" vertical="center" wrapText="1"/>
    </xf>
    <xf numFmtId="0" fontId="20" fillId="2" borderId="15" xfId="0" applyFont="1" applyFill="1" applyBorder="1" applyAlignment="1">
      <alignment horizontal="left" vertical="center"/>
    </xf>
    <xf numFmtId="0" fontId="22" fillId="2" borderId="0" xfId="0" applyFont="1" applyFill="1" applyAlignment="1">
      <alignment horizontal="right" vertical="center"/>
    </xf>
    <xf numFmtId="0" fontId="20" fillId="2" borderId="13" xfId="0" applyFont="1" applyFill="1" applyBorder="1" applyAlignment="1">
      <alignment horizontal="center" vertical="center"/>
    </xf>
    <xf numFmtId="0" fontId="20" fillId="2" borderId="14" xfId="0" applyFont="1" applyFill="1" applyBorder="1" applyAlignment="1">
      <alignment horizontal="center" vertical="center"/>
    </xf>
    <xf numFmtId="0" fontId="20" fillId="2" borderId="15" xfId="0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8" borderId="13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18" fillId="8" borderId="18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/>
    </xf>
    <xf numFmtId="0" fontId="18" fillId="8" borderId="21" xfId="0" applyFont="1" applyFill="1" applyBorder="1" applyAlignment="1">
      <alignment horizontal="center" vertical="center"/>
    </xf>
    <xf numFmtId="0" fontId="18" fillId="8" borderId="22" xfId="0" applyFont="1" applyFill="1" applyBorder="1" applyAlignment="1">
      <alignment horizontal="center" vertical="center"/>
    </xf>
    <xf numFmtId="0" fontId="19" fillId="8" borderId="17" xfId="0" applyFont="1" applyFill="1" applyBorder="1" applyAlignment="1">
      <alignment horizontal="center" vertical="center"/>
    </xf>
    <xf numFmtId="0" fontId="19" fillId="8" borderId="18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left" vertical="center"/>
    </xf>
    <xf numFmtId="0" fontId="25" fillId="12" borderId="23" xfId="0" applyFont="1" applyFill="1" applyBorder="1" applyAlignment="1">
      <alignment horizontal="center" vertical="center"/>
    </xf>
    <xf numFmtId="0" fontId="26" fillId="12" borderId="24" xfId="0" applyFont="1" applyFill="1" applyBorder="1" applyAlignment="1">
      <alignment horizontal="center" vertical="center"/>
    </xf>
    <xf numFmtId="0" fontId="26" fillId="12" borderId="25" xfId="0" applyFont="1" applyFill="1" applyBorder="1" applyAlignment="1">
      <alignment horizontal="center" vertical="center"/>
    </xf>
    <xf numFmtId="0" fontId="26" fillId="12" borderId="26" xfId="0" applyFont="1" applyFill="1" applyBorder="1" applyAlignment="1">
      <alignment horizontal="center" vertical="center"/>
    </xf>
    <xf numFmtId="0" fontId="26" fillId="12" borderId="27" xfId="0" applyFont="1" applyFill="1" applyBorder="1" applyAlignment="1">
      <alignment horizontal="center" vertical="center"/>
    </xf>
    <xf numFmtId="0" fontId="26" fillId="12" borderId="28" xfId="0" applyFont="1" applyFill="1" applyBorder="1" applyAlignment="1">
      <alignment horizontal="center" vertical="center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30" fillId="0" borderId="1" xfId="1" applyFont="1" applyBorder="1" applyAlignment="1">
      <alignment horizontal="center" vertical="center"/>
    </xf>
    <xf numFmtId="0" fontId="38" fillId="0" borderId="1" xfId="1" applyFont="1" applyBorder="1" applyAlignment="1">
      <alignment horizontal="left" vertical="top" wrapText="1"/>
    </xf>
    <xf numFmtId="0" fontId="38" fillId="0" borderId="1" xfId="1" applyFont="1" applyBorder="1" applyAlignment="1">
      <alignment horizontal="left" vertical="top"/>
    </xf>
    <xf numFmtId="0" fontId="30" fillId="0" borderId="0" xfId="1" applyFont="1" applyAlignment="1">
      <alignment horizontal="left" vertical="center"/>
    </xf>
    <xf numFmtId="0" fontId="30" fillId="0" borderId="0" xfId="1" applyFont="1" applyAlignment="1">
      <alignment horizontal="right" vertical="center"/>
    </xf>
    <xf numFmtId="0" fontId="30" fillId="0" borderId="2" xfId="1" applyFont="1" applyBorder="1" applyAlignment="1">
      <alignment horizontal="center" vertical="center"/>
    </xf>
    <xf numFmtId="0" fontId="30" fillId="0" borderId="3" xfId="1" applyFont="1" applyBorder="1" applyAlignment="1">
      <alignment horizontal="center" vertical="center"/>
    </xf>
    <xf numFmtId="0" fontId="30" fillId="0" borderId="4" xfId="1" applyFont="1" applyBorder="1" applyAlignment="1">
      <alignment horizontal="center" vertical="center"/>
    </xf>
    <xf numFmtId="0" fontId="28" fillId="13" borderId="31" xfId="0" applyFont="1" applyFill="1" applyBorder="1" applyAlignment="1">
      <alignment horizontal="center" vertical="center"/>
    </xf>
    <xf numFmtId="0" fontId="28" fillId="11" borderId="31" xfId="0" applyFont="1" applyFill="1" applyBorder="1" applyAlignment="1">
      <alignment horizontal="center" vertical="center" wrapText="1"/>
    </xf>
    <xf numFmtId="0" fontId="28" fillId="11" borderId="33" xfId="0" applyFont="1" applyFill="1" applyBorder="1" applyAlignment="1">
      <alignment horizontal="center" vertical="center" wrapText="1"/>
    </xf>
    <xf numFmtId="0" fontId="28" fillId="11" borderId="34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63C79766-0D98-4105-BE5E-E82C6F35C3AD}"/>
  </cellStyles>
  <dxfs count="1"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61FFD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254132</xdr:colOff>
      <xdr:row>1</xdr:row>
      <xdr:rowOff>4802</xdr:rowOff>
    </xdr:from>
    <xdr:to>
      <xdr:col>19</xdr:col>
      <xdr:colOff>143573</xdr:colOff>
      <xdr:row>38</xdr:row>
      <xdr:rowOff>112807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03CA704-511C-499B-84E6-FCD2A45E6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32" y="223877"/>
          <a:ext cx="12919641" cy="7861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이은지" id="{57C1E80E-2A74-4AC3-8D66-CD44064F9DA7}" userId="S::ejlee@techross.onmicrosoft.com::34accc1c-cf8e-4bad-a55c-857fa0239498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6" dT="2024-06-24T06:48:52.29" personId="{57C1E80E-2A74-4AC3-8D66-CD44064F9DA7}" id="{5061D6F4-4481-44A2-AAC1-883E907EC7CB}">
    <text>1) Weather deck 통해 연결된다면 ANU- [SOL. VALVE] - CHECK VALVE - [SPOOL PIECE] 순으로 작성하였는가 (Standard)
(APPENDIX 4/6.Using a Speel piece_ABS Guide for BWTS)
2) Bulkhead를 관통한다면 ANU - [RFS] - [SOL. VALVE] - CHECK VALVE - [U SEAL] 순으로 작성하였는가 
(APPENDIX 2/Figure 1_ABS Guide for BWTS) &lt;--- Retrofit Case 2 &amp; 3 에서는 해당 구성으로 할 것 (리트로핏팀 요구사항)</text>
  </threadedComment>
  <threadedComment ref="C69" dT="2024-06-27T03:11:25.64" personId="{57C1E80E-2A74-4AC3-8D66-CD44064F9DA7}" id="{359B13E9-BB79-4C0F-95FC-96DCEE9A41C6}">
    <text xml:space="preserve">당사는 LR TAC 미취득, MGDA만 보유하고 있음 (2021년)
- LR TA는 mandatory가 아니며 MGDA 취득으로 LR선박에 설치가 가능함 (installation rule Ch 2.4, 2.5)
- 그러나 CLASS NOTATION에 따라 아래와 같이 구분됩니다. 
- BWTS = MGDA로 커버 가능
- BWTS* = LR TAC 필요 
** 기본설계팀 : 본선 POS 검토시 LR Noration이 "BWTS*" 경우는 DEVIATION LIST에 언급 할 것  </text>
  </threadedComment>
  <threadedComment ref="A75" dT="2024-06-24T07:12:18.57" personId="{57C1E80E-2A74-4AC3-8D66-CD44064F9DA7}" id="{5EEA9AB2-80CF-4A95-8C7F-1D40BB3E5863}">
    <text>General Cargo
Container
Passenger ship</text>
  </threadedComment>
  <threadedComment ref="A77" dT="2024-06-24T07:12:02.19" personId="{57C1E80E-2A74-4AC3-8D66-CD44064F9DA7}" id="{DA71DE5D-95AC-4CC5-8FF3-127B86DD3EBC}">
    <text>Oil Tanker  
Chemical Tanker 
VLCC</text>
  </threadedComment>
  <threadedComment ref="A83" dT="2024-06-24T07:12:30.54" personId="{57C1E80E-2A74-4AC3-8D66-CD44064F9DA7}" id="{301D4388-1813-4147-9FBE-CC3D0E64F872}">
    <text>Heavy lift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78CC-E41B-4C60-8475-40C753B9916B}">
  <sheetPr codeName="Sheet1">
    <pageSetUpPr fitToPage="1"/>
  </sheetPr>
  <dimension ref="A1:Q88"/>
  <sheetViews>
    <sheetView tabSelected="1" view="pageBreakPreview" topLeftCell="A73" zoomScale="60" zoomScaleNormal="85" workbookViewId="0">
      <selection activeCell="C73" sqref="C73"/>
    </sheetView>
  </sheetViews>
  <sheetFormatPr defaultColWidth="9" defaultRowHeight="25.5" customHeight="1"/>
  <cols>
    <col min="1" max="1" width="20.75" style="20" customWidth="1"/>
    <col min="2" max="2" width="5.75" style="1" bestFit="1" customWidth="1"/>
    <col min="3" max="3" width="122.375" style="1" bestFit="1" customWidth="1"/>
    <col min="4" max="4" width="26.5" style="1" bestFit="1" customWidth="1"/>
    <col min="5" max="7" width="7.125" style="1" bestFit="1" customWidth="1"/>
    <col min="8" max="8" width="1" style="2" customWidth="1"/>
    <col min="9" max="9" width="134" style="2" customWidth="1"/>
    <col min="10" max="10" width="9" style="2" customWidth="1"/>
    <col min="11" max="16384" width="9" style="1"/>
  </cols>
  <sheetData>
    <row r="1" spans="1:10" ht="18.75" customHeight="1">
      <c r="E1" s="160" t="s">
        <v>200</v>
      </c>
      <c r="F1" s="160"/>
      <c r="G1" s="160"/>
    </row>
    <row r="2" spans="1:10" s="6" customFormat="1" ht="25.5" customHeight="1">
      <c r="A2" s="143" t="s">
        <v>111</v>
      </c>
      <c r="B2" s="144"/>
      <c r="C2" s="145"/>
      <c r="D2" s="27"/>
      <c r="E2" s="3" t="s">
        <v>6</v>
      </c>
      <c r="F2" s="4" t="s">
        <v>7</v>
      </c>
      <c r="G2" s="4" t="s">
        <v>8</v>
      </c>
      <c r="H2" s="5"/>
      <c r="I2" s="5"/>
      <c r="J2" s="5"/>
    </row>
    <row r="3" spans="1:10" s="6" customFormat="1" ht="25.5" customHeight="1">
      <c r="A3" s="146"/>
      <c r="B3" s="147"/>
      <c r="C3" s="148"/>
      <c r="D3" s="27"/>
      <c r="E3" s="161"/>
      <c r="F3" s="162"/>
      <c r="G3" s="162"/>
      <c r="H3" s="5"/>
      <c r="I3" s="5" t="s">
        <v>107</v>
      </c>
      <c r="J3" s="5"/>
    </row>
    <row r="4" spans="1:10" s="6" customFormat="1" ht="25.5" customHeight="1">
      <c r="A4" s="149"/>
      <c r="B4" s="150"/>
      <c r="C4" s="151"/>
      <c r="D4" s="27"/>
      <c r="E4" s="161"/>
      <c r="F4" s="162"/>
      <c r="G4" s="162"/>
      <c r="H4" s="5"/>
      <c r="I4" s="5" t="s">
        <v>110</v>
      </c>
      <c r="J4" s="5"/>
    </row>
    <row r="5" spans="1:10" s="6" customFormat="1" ht="25.5" customHeight="1">
      <c r="A5" s="163" t="s">
        <v>9</v>
      </c>
      <c r="B5" s="163"/>
      <c r="C5" s="163"/>
      <c r="D5" s="7" t="s">
        <v>10</v>
      </c>
      <c r="E5" s="163" t="s">
        <v>11</v>
      </c>
      <c r="F5" s="163"/>
      <c r="G5" s="163"/>
      <c r="H5" s="8"/>
      <c r="I5" s="5"/>
      <c r="J5" s="5"/>
    </row>
    <row r="6" spans="1:10" s="6" customFormat="1" ht="25.5" customHeight="1">
      <c r="A6" s="152" t="s">
        <v>12</v>
      </c>
      <c r="B6" s="10">
        <v>1</v>
      </c>
      <c r="C6" s="9" t="s">
        <v>79</v>
      </c>
      <c r="D6" s="11"/>
      <c r="E6" s="11"/>
      <c r="F6" s="11"/>
      <c r="G6" s="11"/>
      <c r="H6" s="8"/>
      <c r="I6" s="5"/>
    </row>
    <row r="7" spans="1:10" s="6" customFormat="1" ht="25.5" customHeight="1">
      <c r="A7" s="153"/>
      <c r="B7" s="10">
        <v>2</v>
      </c>
      <c r="C7" s="12" t="s">
        <v>13</v>
      </c>
      <c r="D7" s="11"/>
      <c r="E7" s="11"/>
      <c r="F7" s="11"/>
      <c r="G7" s="11"/>
      <c r="H7" s="8"/>
      <c r="I7" s="5"/>
    </row>
    <row r="8" spans="1:10" s="6" customFormat="1" ht="25.5" customHeight="1">
      <c r="A8" s="153"/>
      <c r="B8" s="10">
        <v>3</v>
      </c>
      <c r="C8" s="12" t="s">
        <v>14</v>
      </c>
      <c r="D8" s="11"/>
      <c r="E8" s="11"/>
      <c r="F8" s="11"/>
      <c r="G8" s="11"/>
      <c r="H8" s="8"/>
      <c r="I8" s="5"/>
    </row>
    <row r="9" spans="1:10" s="6" customFormat="1" ht="25.5" customHeight="1">
      <c r="A9" s="154"/>
      <c r="B9" s="10">
        <v>4</v>
      </c>
      <c r="C9" s="12" t="s">
        <v>76</v>
      </c>
      <c r="D9" s="11"/>
      <c r="E9" s="11"/>
      <c r="F9" s="11"/>
      <c r="G9" s="11"/>
      <c r="H9" s="8"/>
      <c r="I9" s="5"/>
    </row>
    <row r="10" spans="1:10" s="6" customFormat="1" ht="25.5" customHeight="1">
      <c r="A10" s="152" t="s">
        <v>16</v>
      </c>
      <c r="B10" s="13">
        <v>1</v>
      </c>
      <c r="C10" s="12" t="s">
        <v>81</v>
      </c>
      <c r="D10" s="11"/>
      <c r="E10" s="11"/>
      <c r="F10" s="11"/>
      <c r="G10" s="11"/>
      <c r="H10" s="8"/>
      <c r="I10" s="5"/>
      <c r="J10" s="5"/>
    </row>
    <row r="11" spans="1:10" ht="25.5" customHeight="1">
      <c r="A11" s="153"/>
      <c r="B11" s="13">
        <v>2</v>
      </c>
      <c r="C11" s="12" t="s">
        <v>17</v>
      </c>
      <c r="D11" s="14"/>
      <c r="E11" s="14"/>
      <c r="F11" s="14"/>
      <c r="G11" s="14"/>
      <c r="H11" s="15"/>
    </row>
    <row r="12" spans="1:10" ht="62.25" customHeight="1">
      <c r="A12" s="153"/>
      <c r="B12" s="13">
        <v>3</v>
      </c>
      <c r="C12" s="12" t="s">
        <v>18</v>
      </c>
      <c r="D12" s="14"/>
      <c r="E12" s="14"/>
      <c r="F12" s="14"/>
      <c r="G12" s="14"/>
      <c r="H12" s="15"/>
    </row>
    <row r="13" spans="1:10" s="6" customFormat="1" ht="41.25" customHeight="1">
      <c r="A13" s="154"/>
      <c r="B13" s="10">
        <v>4</v>
      </c>
      <c r="C13" s="12" t="s">
        <v>15</v>
      </c>
      <c r="D13" s="11"/>
      <c r="E13" s="11"/>
      <c r="F13" s="11"/>
      <c r="G13" s="11"/>
      <c r="H13" s="8"/>
      <c r="I13" s="5"/>
    </row>
    <row r="14" spans="1:10" s="6" customFormat="1" ht="25.5" customHeight="1">
      <c r="A14" s="22" t="s">
        <v>19</v>
      </c>
      <c r="B14" s="13">
        <v>1</v>
      </c>
      <c r="C14" s="12" t="s">
        <v>20</v>
      </c>
      <c r="D14" s="11"/>
      <c r="E14" s="11"/>
      <c r="F14" s="11"/>
      <c r="G14" s="11"/>
      <c r="H14" s="8"/>
      <c r="I14" s="5"/>
      <c r="J14" s="5"/>
    </row>
    <row r="15" spans="1:10" s="6" customFormat="1" ht="25.5" customHeight="1">
      <c r="A15" s="155" t="s">
        <v>21</v>
      </c>
      <c r="B15" s="13">
        <v>1</v>
      </c>
      <c r="C15" s="12" t="s">
        <v>88</v>
      </c>
      <c r="D15" s="11"/>
      <c r="E15" s="11"/>
      <c r="F15" s="11"/>
      <c r="G15" s="11"/>
      <c r="H15" s="8"/>
      <c r="I15" s="5"/>
      <c r="J15" s="5"/>
    </row>
    <row r="16" spans="1:10" s="6" customFormat="1" ht="25.5" customHeight="1">
      <c r="A16" s="157"/>
      <c r="B16" s="10">
        <v>2</v>
      </c>
      <c r="C16" s="12" t="s">
        <v>65</v>
      </c>
      <c r="D16" s="11"/>
      <c r="E16" s="11"/>
      <c r="F16" s="11"/>
      <c r="G16" s="11"/>
      <c r="H16" s="8"/>
      <c r="I16" s="5"/>
    </row>
    <row r="17" spans="1:10" s="6" customFormat="1" ht="25.5" customHeight="1">
      <c r="A17" s="156"/>
      <c r="B17" s="13">
        <v>3</v>
      </c>
      <c r="C17" s="12" t="s">
        <v>106</v>
      </c>
      <c r="D17" s="11"/>
      <c r="E17" s="11"/>
      <c r="F17" s="11"/>
      <c r="G17" s="11"/>
      <c r="H17" s="8"/>
      <c r="I17" s="5"/>
    </row>
    <row r="18" spans="1:10" s="6" customFormat="1" ht="25.5" customHeight="1">
      <c r="A18" s="135" t="s">
        <v>3</v>
      </c>
      <c r="B18" s="13">
        <v>1</v>
      </c>
      <c r="C18" s="12" t="s">
        <v>28</v>
      </c>
      <c r="D18" s="11"/>
      <c r="E18" s="11"/>
      <c r="F18" s="11"/>
      <c r="G18" s="11"/>
      <c r="H18" s="8"/>
      <c r="I18" s="5"/>
    </row>
    <row r="19" spans="1:10" s="5" customFormat="1" ht="135.75" customHeight="1">
      <c r="A19" s="152" t="s">
        <v>4</v>
      </c>
      <c r="B19" s="13">
        <v>1</v>
      </c>
      <c r="C19" s="12" t="s">
        <v>199</v>
      </c>
      <c r="D19" s="10"/>
      <c r="E19" s="10"/>
      <c r="F19" s="10"/>
      <c r="G19" s="10"/>
      <c r="H19" s="8"/>
    </row>
    <row r="20" spans="1:10" s="6" customFormat="1" ht="25.5" customHeight="1">
      <c r="A20" s="153"/>
      <c r="B20" s="10">
        <v>2</v>
      </c>
      <c r="C20" s="12" t="s">
        <v>63</v>
      </c>
      <c r="D20" s="11"/>
      <c r="E20" s="11"/>
      <c r="F20" s="11"/>
      <c r="G20" s="11"/>
      <c r="H20" s="8"/>
      <c r="I20" s="5"/>
      <c r="J20" s="5"/>
    </row>
    <row r="21" spans="1:10" s="6" customFormat="1" ht="25.5" customHeight="1">
      <c r="A21" s="153"/>
      <c r="B21" s="13">
        <v>3</v>
      </c>
      <c r="C21" s="12" t="s">
        <v>22</v>
      </c>
      <c r="D21" s="11"/>
      <c r="E21" s="11"/>
      <c r="F21" s="11"/>
      <c r="G21" s="11"/>
      <c r="H21" s="8"/>
      <c r="I21" s="5"/>
      <c r="J21" s="5"/>
    </row>
    <row r="22" spans="1:10" s="5" customFormat="1" ht="42" customHeight="1">
      <c r="A22" s="154"/>
      <c r="B22" s="131">
        <v>4</v>
      </c>
      <c r="C22" s="130" t="s">
        <v>201</v>
      </c>
      <c r="D22" s="10"/>
      <c r="E22" s="10"/>
      <c r="F22" s="16"/>
      <c r="G22" s="10"/>
      <c r="H22" s="8"/>
      <c r="I22" s="132" t="s">
        <v>202</v>
      </c>
    </row>
    <row r="23" spans="1:10" s="6" customFormat="1" ht="45.75" customHeight="1">
      <c r="A23" s="22" t="s">
        <v>23</v>
      </c>
      <c r="B23" s="13">
        <v>1</v>
      </c>
      <c r="C23" s="12" t="s">
        <v>93</v>
      </c>
      <c r="D23" s="11"/>
      <c r="E23" s="11"/>
      <c r="F23" s="11"/>
      <c r="G23" s="11"/>
      <c r="H23" s="8"/>
      <c r="I23" s="5"/>
      <c r="J23" s="5"/>
    </row>
    <row r="24" spans="1:10" s="6" customFormat="1" ht="25.5" customHeight="1">
      <c r="A24" s="22" t="s">
        <v>24</v>
      </c>
      <c r="B24" s="13">
        <v>1</v>
      </c>
      <c r="C24" s="12" t="s">
        <v>66</v>
      </c>
      <c r="D24" s="10"/>
      <c r="E24" s="10"/>
      <c r="F24" s="10"/>
      <c r="G24" s="10"/>
      <c r="H24" s="8"/>
      <c r="I24" s="5"/>
      <c r="J24" s="5"/>
    </row>
    <row r="25" spans="1:10" s="6" customFormat="1" ht="25.5" customHeight="1">
      <c r="A25" s="22" t="s">
        <v>0</v>
      </c>
      <c r="B25" s="13">
        <v>1</v>
      </c>
      <c r="C25" s="12" t="s">
        <v>67</v>
      </c>
      <c r="D25" s="10"/>
      <c r="E25" s="10"/>
      <c r="F25" s="10"/>
      <c r="G25" s="10"/>
      <c r="H25" s="8"/>
      <c r="I25" s="5"/>
      <c r="J25" s="5"/>
    </row>
    <row r="26" spans="1:10" s="6" customFormat="1" ht="27" customHeight="1">
      <c r="A26" s="155" t="s">
        <v>25</v>
      </c>
      <c r="B26" s="13">
        <v>1</v>
      </c>
      <c r="C26" s="12" t="s">
        <v>68</v>
      </c>
      <c r="D26" s="11"/>
      <c r="E26" s="11"/>
      <c r="F26" s="11"/>
      <c r="G26" s="11"/>
      <c r="H26" s="8"/>
      <c r="I26" s="5"/>
      <c r="J26" s="5"/>
    </row>
    <row r="27" spans="1:10" s="6" customFormat="1" ht="27" customHeight="1">
      <c r="A27" s="156"/>
      <c r="B27" s="13">
        <v>2</v>
      </c>
      <c r="C27" s="12" t="s">
        <v>161</v>
      </c>
      <c r="D27" s="10"/>
      <c r="E27" s="10"/>
      <c r="F27" s="10"/>
      <c r="G27" s="10"/>
      <c r="H27" s="8"/>
      <c r="I27" s="5"/>
      <c r="J27" s="5"/>
    </row>
    <row r="28" spans="1:10" s="6" customFormat="1" ht="41.25" customHeight="1">
      <c r="A28" s="22" t="s">
        <v>5</v>
      </c>
      <c r="B28" s="13">
        <v>1</v>
      </c>
      <c r="C28" s="12" t="s">
        <v>26</v>
      </c>
      <c r="D28" s="11"/>
      <c r="E28" s="11"/>
      <c r="F28" s="11"/>
      <c r="G28" s="11"/>
      <c r="H28" s="8"/>
      <c r="I28" s="5"/>
      <c r="J28" s="5"/>
    </row>
    <row r="29" spans="1:10" s="6" customFormat="1" ht="25.5" customHeight="1">
      <c r="A29" s="21" t="s">
        <v>1</v>
      </c>
      <c r="B29" s="13">
        <v>1</v>
      </c>
      <c r="C29" s="17" t="s">
        <v>27</v>
      </c>
      <c r="D29" s="11"/>
      <c r="E29" s="11"/>
      <c r="F29" s="11"/>
      <c r="G29" s="11"/>
      <c r="H29" s="8"/>
      <c r="I29" s="5"/>
      <c r="J29" s="5"/>
    </row>
    <row r="30" spans="1:10" s="6" customFormat="1" ht="25.5" customHeight="1">
      <c r="A30" s="133" t="s">
        <v>205</v>
      </c>
      <c r="B30" s="131">
        <v>1</v>
      </c>
      <c r="C30" s="134" t="s">
        <v>206</v>
      </c>
      <c r="D30" s="11"/>
      <c r="E30" s="11"/>
      <c r="F30" s="11"/>
      <c r="G30" s="11"/>
      <c r="H30" s="8"/>
      <c r="I30" s="132" t="s">
        <v>204</v>
      </c>
      <c r="J30" s="5"/>
    </row>
    <row r="31" spans="1:10" s="6" customFormat="1" ht="94.5" customHeight="1">
      <c r="A31" s="155" t="s">
        <v>29</v>
      </c>
      <c r="B31" s="13">
        <v>1</v>
      </c>
      <c r="C31" s="12" t="s">
        <v>30</v>
      </c>
      <c r="D31" s="10"/>
      <c r="E31" s="10"/>
      <c r="F31" s="10"/>
      <c r="G31" s="10"/>
      <c r="H31" s="8"/>
      <c r="I31" s="5"/>
      <c r="J31" s="5"/>
    </row>
    <row r="32" spans="1:10" s="6" customFormat="1" ht="25.5" customHeight="1">
      <c r="A32" s="157"/>
      <c r="B32" s="13">
        <v>2</v>
      </c>
      <c r="C32" s="12" t="s">
        <v>31</v>
      </c>
      <c r="D32" s="10"/>
      <c r="E32" s="10"/>
      <c r="F32" s="10"/>
      <c r="G32" s="10"/>
      <c r="H32" s="8"/>
      <c r="I32" s="5"/>
      <c r="J32" s="5"/>
    </row>
    <row r="33" spans="1:17" s="6" customFormat="1" ht="25.5" customHeight="1">
      <c r="A33" s="157"/>
      <c r="B33" s="13">
        <v>3</v>
      </c>
      <c r="C33" s="12" t="s">
        <v>32</v>
      </c>
      <c r="D33" s="10"/>
      <c r="E33" s="10"/>
      <c r="F33" s="10"/>
      <c r="G33" s="10"/>
      <c r="H33" s="8"/>
      <c r="I33" s="5"/>
      <c r="J33" s="5"/>
    </row>
    <row r="34" spans="1:17" s="5" customFormat="1" ht="25.5" customHeight="1">
      <c r="A34" s="155" t="s">
        <v>33</v>
      </c>
      <c r="B34" s="13">
        <v>1</v>
      </c>
      <c r="C34" s="12" t="s">
        <v>34</v>
      </c>
      <c r="D34" s="10"/>
      <c r="E34" s="10"/>
      <c r="F34" s="10"/>
      <c r="G34" s="10"/>
      <c r="H34" s="8"/>
    </row>
    <row r="35" spans="1:17" s="5" customFormat="1" ht="25.5" customHeight="1">
      <c r="A35" s="156"/>
      <c r="B35" s="13">
        <v>2</v>
      </c>
      <c r="C35" s="12" t="s">
        <v>32</v>
      </c>
      <c r="D35" s="10"/>
      <c r="E35" s="10"/>
      <c r="F35" s="10"/>
      <c r="G35" s="10"/>
      <c r="H35" s="8"/>
    </row>
    <row r="36" spans="1:17" s="6" customFormat="1" ht="25.5" customHeight="1">
      <c r="A36" s="155" t="s">
        <v>35</v>
      </c>
      <c r="B36" s="13">
        <v>1</v>
      </c>
      <c r="C36" s="12" t="s">
        <v>36</v>
      </c>
      <c r="D36" s="10"/>
      <c r="E36" s="10"/>
      <c r="F36" s="10"/>
      <c r="G36" s="10"/>
      <c r="H36" s="8"/>
      <c r="I36" s="5"/>
      <c r="J36" s="5"/>
    </row>
    <row r="37" spans="1:17" s="6" customFormat="1" ht="25.5" customHeight="1">
      <c r="A37" s="156"/>
      <c r="B37" s="13">
        <v>2</v>
      </c>
      <c r="C37" s="12" t="s">
        <v>37</v>
      </c>
      <c r="D37" s="10"/>
      <c r="E37" s="10"/>
      <c r="F37" s="10"/>
      <c r="G37" s="10"/>
      <c r="H37" s="8"/>
      <c r="I37" s="5"/>
      <c r="J37" s="5"/>
    </row>
    <row r="38" spans="1:17" s="6" customFormat="1" ht="25.5" customHeight="1">
      <c r="A38" s="22" t="s">
        <v>38</v>
      </c>
      <c r="B38" s="13">
        <v>1</v>
      </c>
      <c r="C38" s="16" t="s">
        <v>89</v>
      </c>
      <c r="D38" s="10"/>
      <c r="E38" s="10"/>
      <c r="F38" s="10"/>
      <c r="G38" s="10"/>
      <c r="H38" s="8"/>
      <c r="I38" s="5"/>
      <c r="J38" s="5"/>
    </row>
    <row r="39" spans="1:17" s="6" customFormat="1" ht="25.5" customHeight="1">
      <c r="A39" s="22" t="s">
        <v>2</v>
      </c>
      <c r="B39" s="13">
        <v>1</v>
      </c>
      <c r="C39" s="12" t="s">
        <v>39</v>
      </c>
      <c r="D39" s="10"/>
      <c r="E39" s="10"/>
      <c r="F39" s="10"/>
      <c r="G39" s="10"/>
      <c r="H39" s="8"/>
      <c r="I39" s="5"/>
      <c r="J39" s="5"/>
    </row>
    <row r="40" spans="1:17" s="6" customFormat="1" ht="25.5" customHeight="1">
      <c r="A40" s="155" t="s">
        <v>40</v>
      </c>
      <c r="B40" s="13">
        <v>1</v>
      </c>
      <c r="C40" s="12" t="s">
        <v>64</v>
      </c>
      <c r="D40" s="10"/>
      <c r="E40" s="10"/>
      <c r="F40" s="10"/>
      <c r="G40" s="10"/>
      <c r="H40" s="8"/>
      <c r="I40" s="5"/>
      <c r="J40" s="5"/>
    </row>
    <row r="41" spans="1:17" s="6" customFormat="1" ht="25.5" customHeight="1">
      <c r="A41" s="156"/>
      <c r="B41" s="13">
        <v>2</v>
      </c>
      <c r="C41" s="12" t="s">
        <v>41</v>
      </c>
      <c r="D41" s="10"/>
      <c r="E41" s="10"/>
      <c r="F41" s="10"/>
      <c r="G41" s="10"/>
      <c r="H41" s="8"/>
      <c r="I41" s="5"/>
      <c r="J41" s="5"/>
    </row>
    <row r="42" spans="1:17" s="6" customFormat="1" ht="24" customHeight="1">
      <c r="A42" s="152" t="s">
        <v>42</v>
      </c>
      <c r="B42" s="13">
        <v>1</v>
      </c>
      <c r="C42" s="12" t="s">
        <v>69</v>
      </c>
      <c r="D42" s="11"/>
      <c r="E42" s="11"/>
      <c r="F42" s="11"/>
      <c r="G42" s="11"/>
      <c r="H42" s="8"/>
      <c r="I42" s="5"/>
      <c r="J42" s="5"/>
    </row>
    <row r="43" spans="1:17" s="6" customFormat="1" ht="27" customHeight="1">
      <c r="A43" s="153"/>
      <c r="B43" s="13">
        <v>2</v>
      </c>
      <c r="C43" s="12" t="s">
        <v>43</v>
      </c>
      <c r="D43" s="10"/>
      <c r="E43" s="10"/>
      <c r="F43" s="10"/>
      <c r="G43" s="10"/>
      <c r="H43" s="8"/>
      <c r="I43" s="5"/>
      <c r="J43" s="5"/>
      <c r="K43" s="5"/>
      <c r="L43" s="5"/>
      <c r="M43" s="5"/>
      <c r="N43" s="5"/>
      <c r="O43" s="5"/>
      <c r="P43" s="5"/>
      <c r="Q43" s="5"/>
    </row>
    <row r="44" spans="1:17" s="6" customFormat="1" ht="113.25" customHeight="1">
      <c r="A44" s="153"/>
      <c r="B44" s="13">
        <v>3</v>
      </c>
      <c r="C44" s="23" t="e" vm="1">
        <v>#VALUE!</v>
      </c>
      <c r="D44" s="11"/>
      <c r="E44" s="11"/>
      <c r="F44" s="11"/>
      <c r="G44" s="11"/>
      <c r="H44" s="8"/>
      <c r="I44" s="5"/>
      <c r="J44" s="5"/>
    </row>
    <row r="45" spans="1:17" s="6" customFormat="1" ht="25.5" customHeight="1">
      <c r="A45" s="153"/>
      <c r="B45" s="13">
        <v>4</v>
      </c>
      <c r="C45" s="12" t="s">
        <v>162</v>
      </c>
      <c r="D45" s="11"/>
      <c r="E45" s="11"/>
      <c r="F45" s="11"/>
      <c r="G45" s="11"/>
      <c r="H45" s="8"/>
      <c r="I45" s="5"/>
      <c r="J45" s="5"/>
    </row>
    <row r="46" spans="1:17" s="6" customFormat="1" ht="25.5" customHeight="1">
      <c r="A46" s="153"/>
      <c r="B46" s="13">
        <v>5</v>
      </c>
      <c r="C46" s="12" t="s">
        <v>44</v>
      </c>
      <c r="D46" s="10"/>
      <c r="E46" s="10"/>
      <c r="F46" s="10"/>
      <c r="G46" s="10"/>
      <c r="H46" s="8"/>
      <c r="I46" s="5"/>
      <c r="J46" s="5"/>
    </row>
    <row r="47" spans="1:17" s="6" customFormat="1" ht="25.5" customHeight="1">
      <c r="A47" s="153"/>
      <c r="B47" s="13">
        <v>6</v>
      </c>
      <c r="C47" s="12" t="s">
        <v>70</v>
      </c>
      <c r="D47" s="10"/>
      <c r="E47" s="10"/>
      <c r="F47" s="10"/>
      <c r="G47" s="10"/>
      <c r="H47" s="8"/>
      <c r="I47" s="5"/>
      <c r="J47" s="5"/>
    </row>
    <row r="48" spans="1:17" s="6" customFormat="1" ht="25.5" customHeight="1">
      <c r="A48" s="153"/>
      <c r="B48" s="13">
        <v>7</v>
      </c>
      <c r="C48" s="12" t="s">
        <v>45</v>
      </c>
      <c r="D48" s="11"/>
      <c r="E48" s="11"/>
      <c r="F48" s="11"/>
      <c r="G48" s="11"/>
      <c r="H48" s="8"/>
      <c r="I48" s="5"/>
      <c r="J48" s="5"/>
    </row>
    <row r="49" spans="1:10" s="6" customFormat="1" ht="25.5" customHeight="1">
      <c r="A49" s="153"/>
      <c r="B49" s="13">
        <v>8</v>
      </c>
      <c r="C49" s="12" t="s">
        <v>208</v>
      </c>
      <c r="D49" s="11"/>
      <c r="E49" s="11"/>
      <c r="F49" s="11"/>
      <c r="G49" s="11"/>
      <c r="H49" s="8"/>
      <c r="I49" s="5"/>
      <c r="J49" s="5"/>
    </row>
    <row r="50" spans="1:10" s="6" customFormat="1" ht="25.5" customHeight="1">
      <c r="A50" s="153"/>
      <c r="B50" s="13">
        <v>9</v>
      </c>
      <c r="C50" s="12" t="s">
        <v>46</v>
      </c>
      <c r="D50" s="11"/>
      <c r="E50" s="11"/>
      <c r="F50" s="11"/>
      <c r="G50" s="11"/>
      <c r="H50" s="8"/>
      <c r="I50" s="5"/>
      <c r="J50" s="5"/>
    </row>
    <row r="51" spans="1:10" s="6" customFormat="1" ht="25.5" customHeight="1">
      <c r="A51" s="153"/>
      <c r="B51" s="13">
        <v>10</v>
      </c>
      <c r="C51" s="12" t="s">
        <v>62</v>
      </c>
      <c r="D51" s="10"/>
      <c r="E51" s="10"/>
      <c r="F51" s="10"/>
      <c r="G51" s="10"/>
      <c r="H51" s="8"/>
      <c r="I51" s="5"/>
      <c r="J51" s="5"/>
    </row>
    <row r="52" spans="1:10" s="6" customFormat="1" ht="25.5" customHeight="1">
      <c r="A52" s="153"/>
      <c r="B52" s="13">
        <v>11</v>
      </c>
      <c r="C52" s="12" t="s">
        <v>103</v>
      </c>
      <c r="D52" s="10"/>
      <c r="E52" s="10"/>
      <c r="F52" s="10"/>
      <c r="G52" s="10"/>
      <c r="H52" s="8"/>
      <c r="I52" s="5"/>
      <c r="J52" s="5"/>
    </row>
    <row r="53" spans="1:10" s="6" customFormat="1" ht="25.5" customHeight="1">
      <c r="A53" s="153"/>
      <c r="B53" s="131">
        <v>12</v>
      </c>
      <c r="C53" s="130" t="s">
        <v>203</v>
      </c>
      <c r="D53" s="10"/>
      <c r="E53" s="10"/>
      <c r="F53" s="10"/>
      <c r="G53" s="10"/>
      <c r="H53" s="8"/>
      <c r="I53" s="132" t="s">
        <v>204</v>
      </c>
      <c r="J53" s="5"/>
    </row>
    <row r="54" spans="1:10" s="6" customFormat="1" ht="25.5" customHeight="1">
      <c r="A54" s="154"/>
      <c r="B54" s="131">
        <v>13</v>
      </c>
      <c r="C54" s="130" t="s">
        <v>210</v>
      </c>
      <c r="D54" s="10"/>
      <c r="E54" s="10"/>
      <c r="F54" s="10"/>
      <c r="G54" s="10"/>
      <c r="H54" s="8"/>
      <c r="I54" s="132" t="s">
        <v>209</v>
      </c>
      <c r="J54" s="5"/>
    </row>
    <row r="55" spans="1:10" s="6" customFormat="1" ht="25.5" customHeight="1">
      <c r="A55" s="155" t="s">
        <v>48</v>
      </c>
      <c r="B55" s="13">
        <v>1</v>
      </c>
      <c r="C55" s="12" t="s">
        <v>49</v>
      </c>
      <c r="D55" s="10"/>
      <c r="E55" s="10"/>
      <c r="F55" s="10"/>
      <c r="G55" s="10"/>
      <c r="H55" s="8"/>
      <c r="I55" s="5"/>
      <c r="J55" s="5"/>
    </row>
    <row r="56" spans="1:10" s="6" customFormat="1" ht="24.75" customHeight="1">
      <c r="A56" s="157"/>
      <c r="B56" s="13">
        <v>2</v>
      </c>
      <c r="C56" s="12" t="s">
        <v>94</v>
      </c>
      <c r="D56" s="10"/>
      <c r="E56" s="10"/>
      <c r="F56" s="10"/>
      <c r="G56" s="10"/>
      <c r="H56" s="8"/>
      <c r="I56" s="5"/>
      <c r="J56" s="5"/>
    </row>
    <row r="57" spans="1:10" s="6" customFormat="1" ht="42" customHeight="1">
      <c r="A57" s="157"/>
      <c r="B57" s="13">
        <v>3</v>
      </c>
      <c r="C57" s="12" t="s">
        <v>92</v>
      </c>
      <c r="D57" s="10"/>
      <c r="E57" s="10"/>
      <c r="F57" s="10"/>
      <c r="G57" s="10"/>
      <c r="H57" s="8"/>
      <c r="I57" s="5"/>
      <c r="J57" s="5"/>
    </row>
    <row r="58" spans="1:10" s="5" customFormat="1" ht="25.5" customHeight="1">
      <c r="A58" s="22" t="s">
        <v>50</v>
      </c>
      <c r="B58" s="13">
        <v>1</v>
      </c>
      <c r="C58" s="12" t="s">
        <v>51</v>
      </c>
      <c r="D58" s="10"/>
      <c r="E58" s="10"/>
      <c r="F58" s="10"/>
      <c r="G58" s="10"/>
      <c r="H58" s="8"/>
    </row>
    <row r="59" spans="1:10" s="6" customFormat="1" ht="25.5" customHeight="1">
      <c r="A59" s="155" t="s">
        <v>47</v>
      </c>
      <c r="B59" s="13">
        <v>1</v>
      </c>
      <c r="C59" s="12" t="s">
        <v>90</v>
      </c>
      <c r="D59" s="10"/>
      <c r="E59" s="10"/>
      <c r="F59" s="10"/>
      <c r="G59" s="10"/>
      <c r="H59" s="8"/>
      <c r="I59" s="5"/>
      <c r="J59" s="5"/>
    </row>
    <row r="60" spans="1:10" s="6" customFormat="1" ht="25.5" customHeight="1">
      <c r="A60" s="157"/>
      <c r="B60" s="13">
        <v>2</v>
      </c>
      <c r="C60" s="12" t="s">
        <v>91</v>
      </c>
      <c r="D60" s="10"/>
      <c r="E60" s="10"/>
      <c r="F60" s="10"/>
      <c r="G60" s="10"/>
      <c r="H60" s="8"/>
      <c r="I60" s="5"/>
      <c r="J60" s="5"/>
    </row>
    <row r="61" spans="1:10" s="6" customFormat="1" ht="25.5" customHeight="1">
      <c r="A61" s="156"/>
      <c r="B61" s="13">
        <v>3</v>
      </c>
      <c r="C61" s="12" t="s">
        <v>71</v>
      </c>
      <c r="D61" s="10"/>
      <c r="E61" s="10"/>
      <c r="F61" s="10"/>
      <c r="G61" s="10"/>
      <c r="H61" s="8"/>
      <c r="I61" s="5"/>
      <c r="J61" s="5"/>
    </row>
    <row r="62" spans="1:10" s="5" customFormat="1" ht="25.5" customHeight="1">
      <c r="A62" s="22" t="s">
        <v>105</v>
      </c>
      <c r="B62" s="10">
        <v>2</v>
      </c>
      <c r="C62" s="12" t="s">
        <v>97</v>
      </c>
      <c r="D62" s="10"/>
      <c r="E62" s="10"/>
      <c r="F62" s="10"/>
      <c r="G62" s="10"/>
      <c r="H62" s="8"/>
    </row>
    <row r="63" spans="1:10" s="5" customFormat="1" ht="104.25" customHeight="1">
      <c r="A63" s="22" t="s">
        <v>104</v>
      </c>
      <c r="B63" s="13">
        <v>1</v>
      </c>
      <c r="C63" s="12" t="s">
        <v>96</v>
      </c>
      <c r="D63" s="10"/>
      <c r="E63" s="10"/>
      <c r="F63" s="10"/>
      <c r="G63" s="10"/>
      <c r="H63" s="8"/>
    </row>
    <row r="64" spans="1:10" s="6" customFormat="1" ht="25.5" customHeight="1">
      <c r="A64" s="140" t="s">
        <v>52</v>
      </c>
      <c r="B64" s="13">
        <v>1</v>
      </c>
      <c r="C64" s="18" t="s">
        <v>53</v>
      </c>
      <c r="D64" s="10"/>
      <c r="E64" s="10"/>
      <c r="F64" s="10"/>
      <c r="G64" s="10"/>
      <c r="H64" s="8"/>
      <c r="I64" s="5"/>
      <c r="J64" s="5"/>
    </row>
    <row r="65" spans="1:13" s="6" customFormat="1" ht="39" customHeight="1">
      <c r="A65" s="141"/>
      <c r="B65" s="13">
        <v>2</v>
      </c>
      <c r="C65" s="18" t="s">
        <v>54</v>
      </c>
      <c r="D65" s="10"/>
      <c r="E65" s="10"/>
      <c r="F65" s="10"/>
      <c r="G65" s="10"/>
      <c r="H65" s="8"/>
      <c r="I65" s="5"/>
      <c r="J65" s="5"/>
    </row>
    <row r="66" spans="1:13" s="6" customFormat="1" ht="81" customHeight="1">
      <c r="A66" s="141"/>
      <c r="B66" s="13">
        <v>3</v>
      </c>
      <c r="C66" s="12" t="s">
        <v>109</v>
      </c>
      <c r="D66" s="10"/>
      <c r="E66" s="10"/>
      <c r="F66" s="10"/>
      <c r="G66" s="10"/>
      <c r="H66" s="8"/>
      <c r="I66" s="5" t="s">
        <v>207</v>
      </c>
      <c r="J66" s="5"/>
    </row>
    <row r="67" spans="1:13" s="6" customFormat="1" ht="43.5" customHeight="1">
      <c r="A67" s="142"/>
      <c r="B67" s="13">
        <v>4</v>
      </c>
      <c r="C67" s="12" t="s">
        <v>55</v>
      </c>
      <c r="D67" s="10"/>
      <c r="E67" s="10"/>
      <c r="F67" s="10"/>
      <c r="G67" s="10"/>
      <c r="H67" s="8"/>
      <c r="I67" s="5"/>
      <c r="J67" s="5"/>
    </row>
    <row r="68" spans="1:13" s="5" customFormat="1" ht="27.75" customHeight="1">
      <c r="A68" s="129" t="s">
        <v>77</v>
      </c>
      <c r="B68" s="13">
        <v>1</v>
      </c>
      <c r="C68" s="12" t="s">
        <v>56</v>
      </c>
      <c r="D68" s="10"/>
      <c r="E68" s="10"/>
      <c r="F68" s="10"/>
      <c r="G68" s="10"/>
      <c r="H68" s="8"/>
    </row>
    <row r="69" spans="1:13" s="5" customFormat="1" ht="28.5" customHeight="1">
      <c r="A69" s="29" t="s">
        <v>57</v>
      </c>
      <c r="B69" s="13">
        <v>1</v>
      </c>
      <c r="C69" s="12" t="s">
        <v>108</v>
      </c>
      <c r="D69" s="10"/>
      <c r="E69" s="10"/>
      <c r="F69" s="10"/>
      <c r="G69" s="10"/>
      <c r="H69" s="8"/>
    </row>
    <row r="70" spans="1:13" s="5" customFormat="1" ht="27.75" customHeight="1">
      <c r="A70" s="140" t="s">
        <v>58</v>
      </c>
      <c r="B70" s="13">
        <v>1</v>
      </c>
      <c r="C70" s="12" t="s">
        <v>59</v>
      </c>
      <c r="D70" s="10"/>
      <c r="E70" s="10"/>
      <c r="F70" s="10"/>
      <c r="G70" s="10"/>
      <c r="H70" s="8"/>
    </row>
    <row r="71" spans="1:13" s="5" customFormat="1" ht="27.75" customHeight="1">
      <c r="A71" s="141"/>
      <c r="B71" s="13">
        <v>2</v>
      </c>
      <c r="C71" s="12" t="s">
        <v>60</v>
      </c>
      <c r="D71" s="10"/>
      <c r="E71" s="10"/>
      <c r="F71" s="10"/>
      <c r="G71" s="10"/>
      <c r="H71" s="8"/>
    </row>
    <row r="72" spans="1:13" s="5" customFormat="1" ht="63" customHeight="1">
      <c r="A72" s="142"/>
      <c r="B72" s="13">
        <v>3</v>
      </c>
      <c r="C72" s="12" t="s">
        <v>95</v>
      </c>
      <c r="D72" s="10"/>
      <c r="E72" s="10"/>
      <c r="F72" s="10"/>
      <c r="G72" s="10"/>
      <c r="H72" s="8"/>
    </row>
    <row r="73" spans="1:13" s="5" customFormat="1" ht="81" customHeight="1">
      <c r="A73" s="29" t="s">
        <v>102</v>
      </c>
      <c r="B73" s="13">
        <v>1</v>
      </c>
      <c r="C73" s="12" t="s">
        <v>61</v>
      </c>
      <c r="D73" s="10"/>
      <c r="E73" s="10"/>
      <c r="F73" s="10"/>
      <c r="G73" s="10"/>
      <c r="H73" s="8"/>
    </row>
    <row r="75" spans="1:13" ht="22.5" customHeight="1">
      <c r="A75" s="158" t="s">
        <v>99</v>
      </c>
      <c r="B75" s="24">
        <v>1</v>
      </c>
      <c r="C75" s="25" t="s">
        <v>85</v>
      </c>
      <c r="D75" s="10"/>
      <c r="E75" s="10"/>
      <c r="F75" s="10"/>
      <c r="G75" s="10"/>
      <c r="H75" s="15"/>
    </row>
    <row r="76" spans="1:13" ht="29.25" customHeight="1">
      <c r="A76" s="159"/>
      <c r="B76" s="24">
        <v>2</v>
      </c>
      <c r="C76" s="25" t="s">
        <v>86</v>
      </c>
      <c r="D76" s="10"/>
      <c r="E76" s="10"/>
      <c r="F76" s="10"/>
      <c r="G76" s="10"/>
      <c r="H76" s="15"/>
      <c r="K76" s="2"/>
    </row>
    <row r="77" spans="1:13" ht="27" customHeight="1">
      <c r="A77" s="158" t="s">
        <v>98</v>
      </c>
      <c r="B77" s="24">
        <v>1</v>
      </c>
      <c r="C77" s="25" t="s">
        <v>72</v>
      </c>
      <c r="D77" s="10"/>
      <c r="E77" s="10"/>
      <c r="F77" s="10"/>
      <c r="G77" s="10"/>
      <c r="H77" s="19"/>
    </row>
    <row r="78" spans="1:13" ht="27" customHeight="1">
      <c r="A78" s="159"/>
      <c r="B78" s="24">
        <v>2</v>
      </c>
      <c r="C78" s="25" t="s">
        <v>82</v>
      </c>
      <c r="D78" s="10"/>
      <c r="E78" s="10"/>
      <c r="F78" s="10"/>
      <c r="G78" s="10"/>
    </row>
    <row r="79" spans="1:13" ht="34.5">
      <c r="A79" s="159"/>
      <c r="B79" s="24">
        <v>3</v>
      </c>
      <c r="C79" s="25" t="s">
        <v>80</v>
      </c>
      <c r="D79" s="10"/>
      <c r="E79" s="10"/>
      <c r="F79" s="10"/>
      <c r="G79" s="10"/>
    </row>
    <row r="80" spans="1:13" ht="62.25" customHeight="1">
      <c r="A80" s="159"/>
      <c r="B80" s="24">
        <v>4</v>
      </c>
      <c r="C80" s="25" t="s">
        <v>78</v>
      </c>
      <c r="D80" s="10"/>
      <c r="E80" s="10"/>
      <c r="F80" s="10"/>
      <c r="G80" s="10"/>
      <c r="K80" s="2"/>
      <c r="L80" s="2"/>
      <c r="M80" s="2"/>
    </row>
    <row r="81" spans="1:13" ht="27" customHeight="1">
      <c r="A81" s="159"/>
      <c r="B81" s="24">
        <v>5</v>
      </c>
      <c r="C81" s="25" t="s">
        <v>83</v>
      </c>
      <c r="D81" s="10"/>
      <c r="E81" s="10"/>
      <c r="F81" s="10"/>
      <c r="G81" s="10"/>
      <c r="K81" s="2"/>
      <c r="L81" s="2"/>
      <c r="M81" s="2"/>
    </row>
    <row r="82" spans="1:13" ht="28.5" customHeight="1">
      <c r="A82" s="159"/>
      <c r="B82" s="24">
        <v>6</v>
      </c>
      <c r="C82" s="25" t="s">
        <v>84</v>
      </c>
      <c r="D82" s="10"/>
      <c r="E82" s="10"/>
      <c r="F82" s="10"/>
      <c r="G82" s="10"/>
      <c r="K82" s="2"/>
      <c r="L82" s="2"/>
      <c r="M82" s="2"/>
    </row>
    <row r="83" spans="1:13" ht="66" customHeight="1">
      <c r="A83" s="158" t="s">
        <v>100</v>
      </c>
      <c r="B83" s="24">
        <v>1</v>
      </c>
      <c r="C83" s="25" t="s">
        <v>73</v>
      </c>
      <c r="D83" s="10"/>
      <c r="E83" s="10"/>
      <c r="F83" s="10"/>
      <c r="G83" s="10"/>
      <c r="K83" s="2"/>
      <c r="L83" s="2"/>
      <c r="M83" s="2"/>
    </row>
    <row r="84" spans="1:13" ht="27" customHeight="1">
      <c r="A84" s="159"/>
      <c r="B84" s="24">
        <v>2</v>
      </c>
      <c r="C84" s="26" t="s">
        <v>74</v>
      </c>
      <c r="D84" s="10"/>
      <c r="E84" s="10"/>
      <c r="F84" s="10"/>
      <c r="G84" s="10"/>
      <c r="K84" s="2"/>
      <c r="L84" s="2"/>
      <c r="M84" s="2"/>
    </row>
    <row r="85" spans="1:13" ht="27" customHeight="1">
      <c r="A85" s="159"/>
      <c r="B85" s="24">
        <v>3</v>
      </c>
      <c r="C85" s="26" t="s">
        <v>75</v>
      </c>
      <c r="D85" s="10"/>
      <c r="E85" s="10"/>
      <c r="F85" s="10"/>
      <c r="G85" s="10"/>
    </row>
    <row r="86" spans="1:13" ht="42" customHeight="1">
      <c r="A86" s="28" t="s">
        <v>101</v>
      </c>
      <c r="B86" s="24">
        <v>1</v>
      </c>
      <c r="C86" s="25" t="s">
        <v>87</v>
      </c>
      <c r="D86" s="10"/>
      <c r="E86" s="10"/>
      <c r="F86" s="10"/>
      <c r="G86" s="10"/>
    </row>
    <row r="87" spans="1:13" ht="25.5" customHeight="1">
      <c r="B87" s="19"/>
      <c r="C87" s="19"/>
      <c r="D87" s="19"/>
      <c r="E87" s="19"/>
      <c r="F87" s="19"/>
      <c r="G87" s="19"/>
    </row>
    <row r="88" spans="1:13" ht="25.5" customHeight="1">
      <c r="B88" s="19"/>
      <c r="C88" s="19"/>
      <c r="D88" s="19"/>
      <c r="E88" s="19"/>
      <c r="F88" s="19"/>
      <c r="G88" s="19"/>
    </row>
  </sheetData>
  <mergeCells count="24">
    <mergeCell ref="A83:A85"/>
    <mergeCell ref="E1:G1"/>
    <mergeCell ref="A15:A17"/>
    <mergeCell ref="E3:E4"/>
    <mergeCell ref="F3:F4"/>
    <mergeCell ref="G3:G4"/>
    <mergeCell ref="A5:C5"/>
    <mergeCell ref="E5:G5"/>
    <mergeCell ref="A6:A9"/>
    <mergeCell ref="A70:A72"/>
    <mergeCell ref="A77:A82"/>
    <mergeCell ref="A75:A76"/>
    <mergeCell ref="A10:A13"/>
    <mergeCell ref="A59:A61"/>
    <mergeCell ref="A55:A57"/>
    <mergeCell ref="A64:A67"/>
    <mergeCell ref="A2:C4"/>
    <mergeCell ref="A19:A22"/>
    <mergeCell ref="A34:A35"/>
    <mergeCell ref="A36:A37"/>
    <mergeCell ref="A40:A41"/>
    <mergeCell ref="A31:A33"/>
    <mergeCell ref="A26:A27"/>
    <mergeCell ref="A42:A54"/>
  </mergeCells>
  <phoneticPr fontId="1" type="noConversion"/>
  <pageMargins left="0.7" right="0.7" top="0.75" bottom="0.75" header="0.3" footer="0.3"/>
  <pageSetup paperSize="9" scale="40" fitToHeight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0FC7F-DDE7-49D5-911E-088C8C13CE96}">
  <sheetPr codeName="Sheet2"/>
  <dimension ref="B1:AA65"/>
  <sheetViews>
    <sheetView topLeftCell="A24" zoomScaleNormal="100" workbookViewId="0">
      <selection activeCell="J44" sqref="J44"/>
    </sheetView>
  </sheetViews>
  <sheetFormatPr defaultRowHeight="13.5"/>
  <cols>
    <col min="1" max="1" width="2.125" style="30" customWidth="1"/>
    <col min="2" max="2" width="12.25" style="30" customWidth="1"/>
    <col min="3" max="3" width="7.5" style="31" customWidth="1"/>
    <col min="4" max="5" width="8.125" style="30" customWidth="1"/>
    <col min="6" max="6" width="8.5" style="31" customWidth="1"/>
    <col min="7" max="7" width="9.75" style="32" customWidth="1"/>
    <col min="8" max="8" width="9.75" style="31" customWidth="1"/>
    <col min="9" max="9" width="10.75" style="30" customWidth="1"/>
    <col min="10" max="12" width="9.75" style="30" customWidth="1"/>
    <col min="13" max="13" width="9.5" style="30" customWidth="1"/>
    <col min="14" max="14" width="5.375" style="30" customWidth="1"/>
    <col min="15" max="16" width="9.75" style="30" customWidth="1"/>
    <col min="17" max="17" width="9.5" style="30" customWidth="1"/>
    <col min="18" max="18" width="5.375" style="30" customWidth="1"/>
    <col min="19" max="19" width="9" style="30"/>
    <col min="20" max="20" width="10.25" style="30" customWidth="1"/>
    <col min="21" max="21" width="11.25" style="30" customWidth="1"/>
    <col min="22" max="24" width="9.125" style="30" bestFit="1" customWidth="1"/>
    <col min="25" max="25" width="9.25" style="30" bestFit="1" customWidth="1"/>
    <col min="26" max="26" width="9.125" style="30" bestFit="1" customWidth="1"/>
    <col min="27" max="27" width="9.25" style="30" bestFit="1" customWidth="1"/>
    <col min="28" max="263" width="9" style="30"/>
    <col min="264" max="264" width="2.125" style="30" customWidth="1"/>
    <col min="265" max="265" width="13" style="30" customWidth="1"/>
    <col min="266" max="266" width="7.5" style="30" customWidth="1"/>
    <col min="267" max="267" width="7.625" style="30" customWidth="1"/>
    <col min="268" max="272" width="9.75" style="30" customWidth="1"/>
    <col min="273" max="273" width="8" style="30" customWidth="1"/>
    <col min="274" max="274" width="5.375" style="30" customWidth="1"/>
    <col min="275" max="275" width="9" style="30"/>
    <col min="276" max="276" width="10.25" style="30" customWidth="1"/>
    <col min="277" max="277" width="11.25" style="30" customWidth="1"/>
    <col min="278" max="280" width="9.125" style="30" bestFit="1" customWidth="1"/>
    <col min="281" max="281" width="9.25" style="30" bestFit="1" customWidth="1"/>
    <col min="282" max="282" width="9.125" style="30" bestFit="1" customWidth="1"/>
    <col min="283" max="283" width="9.25" style="30" bestFit="1" customWidth="1"/>
    <col min="284" max="519" width="9" style="30"/>
    <col min="520" max="520" width="2.125" style="30" customWidth="1"/>
    <col min="521" max="521" width="13" style="30" customWidth="1"/>
    <col min="522" max="522" width="7.5" style="30" customWidth="1"/>
    <col min="523" max="523" width="7.625" style="30" customWidth="1"/>
    <col min="524" max="528" width="9.75" style="30" customWidth="1"/>
    <col min="529" max="529" width="8" style="30" customWidth="1"/>
    <col min="530" max="530" width="5.375" style="30" customWidth="1"/>
    <col min="531" max="531" width="9" style="30"/>
    <col min="532" max="532" width="10.25" style="30" customWidth="1"/>
    <col min="533" max="533" width="11.25" style="30" customWidth="1"/>
    <col min="534" max="536" width="9.125" style="30" bestFit="1" customWidth="1"/>
    <col min="537" max="537" width="9.25" style="30" bestFit="1" customWidth="1"/>
    <col min="538" max="538" width="9.125" style="30" bestFit="1" customWidth="1"/>
    <col min="539" max="539" width="9.25" style="30" bestFit="1" customWidth="1"/>
    <col min="540" max="775" width="9" style="30"/>
    <col min="776" max="776" width="2.125" style="30" customWidth="1"/>
    <col min="777" max="777" width="13" style="30" customWidth="1"/>
    <col min="778" max="778" width="7.5" style="30" customWidth="1"/>
    <col min="779" max="779" width="7.625" style="30" customWidth="1"/>
    <col min="780" max="784" width="9.75" style="30" customWidth="1"/>
    <col min="785" max="785" width="8" style="30" customWidth="1"/>
    <col min="786" max="786" width="5.375" style="30" customWidth="1"/>
    <col min="787" max="787" width="9" style="30"/>
    <col min="788" max="788" width="10.25" style="30" customWidth="1"/>
    <col min="789" max="789" width="11.25" style="30" customWidth="1"/>
    <col min="790" max="792" width="9.125" style="30" bestFit="1" customWidth="1"/>
    <col min="793" max="793" width="9.25" style="30" bestFit="1" customWidth="1"/>
    <col min="794" max="794" width="9.125" style="30" bestFit="1" customWidth="1"/>
    <col min="795" max="795" width="9.25" style="30" bestFit="1" customWidth="1"/>
    <col min="796" max="1031" width="9" style="30"/>
    <col min="1032" max="1032" width="2.125" style="30" customWidth="1"/>
    <col min="1033" max="1033" width="13" style="30" customWidth="1"/>
    <col min="1034" max="1034" width="7.5" style="30" customWidth="1"/>
    <col min="1035" max="1035" width="7.625" style="30" customWidth="1"/>
    <col min="1036" max="1040" width="9.75" style="30" customWidth="1"/>
    <col min="1041" max="1041" width="8" style="30" customWidth="1"/>
    <col min="1042" max="1042" width="5.375" style="30" customWidth="1"/>
    <col min="1043" max="1043" width="9" style="30"/>
    <col min="1044" max="1044" width="10.25" style="30" customWidth="1"/>
    <col min="1045" max="1045" width="11.25" style="30" customWidth="1"/>
    <col min="1046" max="1048" width="9.125" style="30" bestFit="1" customWidth="1"/>
    <col min="1049" max="1049" width="9.25" style="30" bestFit="1" customWidth="1"/>
    <col min="1050" max="1050" width="9.125" style="30" bestFit="1" customWidth="1"/>
    <col min="1051" max="1051" width="9.25" style="30" bestFit="1" customWidth="1"/>
    <col min="1052" max="1287" width="9" style="30"/>
    <col min="1288" max="1288" width="2.125" style="30" customWidth="1"/>
    <col min="1289" max="1289" width="13" style="30" customWidth="1"/>
    <col min="1290" max="1290" width="7.5" style="30" customWidth="1"/>
    <col min="1291" max="1291" width="7.625" style="30" customWidth="1"/>
    <col min="1292" max="1296" width="9.75" style="30" customWidth="1"/>
    <col min="1297" max="1297" width="8" style="30" customWidth="1"/>
    <col min="1298" max="1298" width="5.375" style="30" customWidth="1"/>
    <col min="1299" max="1299" width="9" style="30"/>
    <col min="1300" max="1300" width="10.25" style="30" customWidth="1"/>
    <col min="1301" max="1301" width="11.25" style="30" customWidth="1"/>
    <col min="1302" max="1304" width="9.125" style="30" bestFit="1" customWidth="1"/>
    <col min="1305" max="1305" width="9.25" style="30" bestFit="1" customWidth="1"/>
    <col min="1306" max="1306" width="9.125" style="30" bestFit="1" customWidth="1"/>
    <col min="1307" max="1307" width="9.25" style="30" bestFit="1" customWidth="1"/>
    <col min="1308" max="1543" width="9" style="30"/>
    <col min="1544" max="1544" width="2.125" style="30" customWidth="1"/>
    <col min="1545" max="1545" width="13" style="30" customWidth="1"/>
    <col min="1546" max="1546" width="7.5" style="30" customWidth="1"/>
    <col min="1547" max="1547" width="7.625" style="30" customWidth="1"/>
    <col min="1548" max="1552" width="9.75" style="30" customWidth="1"/>
    <col min="1553" max="1553" width="8" style="30" customWidth="1"/>
    <col min="1554" max="1554" width="5.375" style="30" customWidth="1"/>
    <col min="1555" max="1555" width="9" style="30"/>
    <col min="1556" max="1556" width="10.25" style="30" customWidth="1"/>
    <col min="1557" max="1557" width="11.25" style="30" customWidth="1"/>
    <col min="1558" max="1560" width="9.125" style="30" bestFit="1" customWidth="1"/>
    <col min="1561" max="1561" width="9.25" style="30" bestFit="1" customWidth="1"/>
    <col min="1562" max="1562" width="9.125" style="30" bestFit="1" customWidth="1"/>
    <col min="1563" max="1563" width="9.25" style="30" bestFit="1" customWidth="1"/>
    <col min="1564" max="1799" width="9" style="30"/>
    <col min="1800" max="1800" width="2.125" style="30" customWidth="1"/>
    <col min="1801" max="1801" width="13" style="30" customWidth="1"/>
    <col min="1802" max="1802" width="7.5" style="30" customWidth="1"/>
    <col min="1803" max="1803" width="7.625" style="30" customWidth="1"/>
    <col min="1804" max="1808" width="9.75" style="30" customWidth="1"/>
    <col min="1809" max="1809" width="8" style="30" customWidth="1"/>
    <col min="1810" max="1810" width="5.375" style="30" customWidth="1"/>
    <col min="1811" max="1811" width="9" style="30"/>
    <col min="1812" max="1812" width="10.25" style="30" customWidth="1"/>
    <col min="1813" max="1813" width="11.25" style="30" customWidth="1"/>
    <col min="1814" max="1816" width="9.125" style="30" bestFit="1" customWidth="1"/>
    <col min="1817" max="1817" width="9.25" style="30" bestFit="1" customWidth="1"/>
    <col min="1818" max="1818" width="9.125" style="30" bestFit="1" customWidth="1"/>
    <col min="1819" max="1819" width="9.25" style="30" bestFit="1" customWidth="1"/>
    <col min="1820" max="2055" width="9" style="30"/>
    <col min="2056" max="2056" width="2.125" style="30" customWidth="1"/>
    <col min="2057" max="2057" width="13" style="30" customWidth="1"/>
    <col min="2058" max="2058" width="7.5" style="30" customWidth="1"/>
    <col min="2059" max="2059" width="7.625" style="30" customWidth="1"/>
    <col min="2060" max="2064" width="9.75" style="30" customWidth="1"/>
    <col min="2065" max="2065" width="8" style="30" customWidth="1"/>
    <col min="2066" max="2066" width="5.375" style="30" customWidth="1"/>
    <col min="2067" max="2067" width="9" style="30"/>
    <col min="2068" max="2068" width="10.25" style="30" customWidth="1"/>
    <col min="2069" max="2069" width="11.25" style="30" customWidth="1"/>
    <col min="2070" max="2072" width="9.125" style="30" bestFit="1" customWidth="1"/>
    <col min="2073" max="2073" width="9.25" style="30" bestFit="1" customWidth="1"/>
    <col min="2074" max="2074" width="9.125" style="30" bestFit="1" customWidth="1"/>
    <col min="2075" max="2075" width="9.25" style="30" bestFit="1" customWidth="1"/>
    <col min="2076" max="2311" width="9" style="30"/>
    <col min="2312" max="2312" width="2.125" style="30" customWidth="1"/>
    <col min="2313" max="2313" width="13" style="30" customWidth="1"/>
    <col min="2314" max="2314" width="7.5" style="30" customWidth="1"/>
    <col min="2315" max="2315" width="7.625" style="30" customWidth="1"/>
    <col min="2316" max="2320" width="9.75" style="30" customWidth="1"/>
    <col min="2321" max="2321" width="8" style="30" customWidth="1"/>
    <col min="2322" max="2322" width="5.375" style="30" customWidth="1"/>
    <col min="2323" max="2323" width="9" style="30"/>
    <col min="2324" max="2324" width="10.25" style="30" customWidth="1"/>
    <col min="2325" max="2325" width="11.25" style="30" customWidth="1"/>
    <col min="2326" max="2328" width="9.125" style="30" bestFit="1" customWidth="1"/>
    <col min="2329" max="2329" width="9.25" style="30" bestFit="1" customWidth="1"/>
    <col min="2330" max="2330" width="9.125" style="30" bestFit="1" customWidth="1"/>
    <col min="2331" max="2331" width="9.25" style="30" bestFit="1" customWidth="1"/>
    <col min="2332" max="2567" width="9" style="30"/>
    <col min="2568" max="2568" width="2.125" style="30" customWidth="1"/>
    <col min="2569" max="2569" width="13" style="30" customWidth="1"/>
    <col min="2570" max="2570" width="7.5" style="30" customWidth="1"/>
    <col min="2571" max="2571" width="7.625" style="30" customWidth="1"/>
    <col min="2572" max="2576" width="9.75" style="30" customWidth="1"/>
    <col min="2577" max="2577" width="8" style="30" customWidth="1"/>
    <col min="2578" max="2578" width="5.375" style="30" customWidth="1"/>
    <col min="2579" max="2579" width="9" style="30"/>
    <col min="2580" max="2580" width="10.25" style="30" customWidth="1"/>
    <col min="2581" max="2581" width="11.25" style="30" customWidth="1"/>
    <col min="2582" max="2584" width="9.125" style="30" bestFit="1" customWidth="1"/>
    <col min="2585" max="2585" width="9.25" style="30" bestFit="1" customWidth="1"/>
    <col min="2586" max="2586" width="9.125" style="30" bestFit="1" customWidth="1"/>
    <col min="2587" max="2587" width="9.25" style="30" bestFit="1" customWidth="1"/>
    <col min="2588" max="2823" width="9" style="30"/>
    <col min="2824" max="2824" width="2.125" style="30" customWidth="1"/>
    <col min="2825" max="2825" width="13" style="30" customWidth="1"/>
    <col min="2826" max="2826" width="7.5" style="30" customWidth="1"/>
    <col min="2827" max="2827" width="7.625" style="30" customWidth="1"/>
    <col min="2828" max="2832" width="9.75" style="30" customWidth="1"/>
    <col min="2833" max="2833" width="8" style="30" customWidth="1"/>
    <col min="2834" max="2834" width="5.375" style="30" customWidth="1"/>
    <col min="2835" max="2835" width="9" style="30"/>
    <col min="2836" max="2836" width="10.25" style="30" customWidth="1"/>
    <col min="2837" max="2837" width="11.25" style="30" customWidth="1"/>
    <col min="2838" max="2840" width="9.125" style="30" bestFit="1" customWidth="1"/>
    <col min="2841" max="2841" width="9.25" style="30" bestFit="1" customWidth="1"/>
    <col min="2842" max="2842" width="9.125" style="30" bestFit="1" customWidth="1"/>
    <col min="2843" max="2843" width="9.25" style="30" bestFit="1" customWidth="1"/>
    <col min="2844" max="3079" width="9" style="30"/>
    <col min="3080" max="3080" width="2.125" style="30" customWidth="1"/>
    <col min="3081" max="3081" width="13" style="30" customWidth="1"/>
    <col min="3082" max="3082" width="7.5" style="30" customWidth="1"/>
    <col min="3083" max="3083" width="7.625" style="30" customWidth="1"/>
    <col min="3084" max="3088" width="9.75" style="30" customWidth="1"/>
    <col min="3089" max="3089" width="8" style="30" customWidth="1"/>
    <col min="3090" max="3090" width="5.375" style="30" customWidth="1"/>
    <col min="3091" max="3091" width="9" style="30"/>
    <col min="3092" max="3092" width="10.25" style="30" customWidth="1"/>
    <col min="3093" max="3093" width="11.25" style="30" customWidth="1"/>
    <col min="3094" max="3096" width="9.125" style="30" bestFit="1" customWidth="1"/>
    <col min="3097" max="3097" width="9.25" style="30" bestFit="1" customWidth="1"/>
    <col min="3098" max="3098" width="9.125" style="30" bestFit="1" customWidth="1"/>
    <col min="3099" max="3099" width="9.25" style="30" bestFit="1" customWidth="1"/>
    <col min="3100" max="3335" width="9" style="30"/>
    <col min="3336" max="3336" width="2.125" style="30" customWidth="1"/>
    <col min="3337" max="3337" width="13" style="30" customWidth="1"/>
    <col min="3338" max="3338" width="7.5" style="30" customWidth="1"/>
    <col min="3339" max="3339" width="7.625" style="30" customWidth="1"/>
    <col min="3340" max="3344" width="9.75" style="30" customWidth="1"/>
    <col min="3345" max="3345" width="8" style="30" customWidth="1"/>
    <col min="3346" max="3346" width="5.375" style="30" customWidth="1"/>
    <col min="3347" max="3347" width="9" style="30"/>
    <col min="3348" max="3348" width="10.25" style="30" customWidth="1"/>
    <col min="3349" max="3349" width="11.25" style="30" customWidth="1"/>
    <col min="3350" max="3352" width="9.125" style="30" bestFit="1" customWidth="1"/>
    <col min="3353" max="3353" width="9.25" style="30" bestFit="1" customWidth="1"/>
    <col min="3354" max="3354" width="9.125" style="30" bestFit="1" customWidth="1"/>
    <col min="3355" max="3355" width="9.25" style="30" bestFit="1" customWidth="1"/>
    <col min="3356" max="3591" width="9" style="30"/>
    <col min="3592" max="3592" width="2.125" style="30" customWidth="1"/>
    <col min="3593" max="3593" width="13" style="30" customWidth="1"/>
    <col min="3594" max="3594" width="7.5" style="30" customWidth="1"/>
    <col min="3595" max="3595" width="7.625" style="30" customWidth="1"/>
    <col min="3596" max="3600" width="9.75" style="30" customWidth="1"/>
    <col min="3601" max="3601" width="8" style="30" customWidth="1"/>
    <col min="3602" max="3602" width="5.375" style="30" customWidth="1"/>
    <col min="3603" max="3603" width="9" style="30"/>
    <col min="3604" max="3604" width="10.25" style="30" customWidth="1"/>
    <col min="3605" max="3605" width="11.25" style="30" customWidth="1"/>
    <col min="3606" max="3608" width="9.125" style="30" bestFit="1" customWidth="1"/>
    <col min="3609" max="3609" width="9.25" style="30" bestFit="1" customWidth="1"/>
    <col min="3610" max="3610" width="9.125" style="30" bestFit="1" customWidth="1"/>
    <col min="3611" max="3611" width="9.25" style="30" bestFit="1" customWidth="1"/>
    <col min="3612" max="3847" width="9" style="30"/>
    <col min="3848" max="3848" width="2.125" style="30" customWidth="1"/>
    <col min="3849" max="3849" width="13" style="30" customWidth="1"/>
    <col min="3850" max="3850" width="7.5" style="30" customWidth="1"/>
    <col min="3851" max="3851" width="7.625" style="30" customWidth="1"/>
    <col min="3852" max="3856" width="9.75" style="30" customWidth="1"/>
    <col min="3857" max="3857" width="8" style="30" customWidth="1"/>
    <col min="3858" max="3858" width="5.375" style="30" customWidth="1"/>
    <col min="3859" max="3859" width="9" style="30"/>
    <col min="3860" max="3860" width="10.25" style="30" customWidth="1"/>
    <col min="3861" max="3861" width="11.25" style="30" customWidth="1"/>
    <col min="3862" max="3864" width="9.125" style="30" bestFit="1" customWidth="1"/>
    <col min="3865" max="3865" width="9.25" style="30" bestFit="1" customWidth="1"/>
    <col min="3866" max="3866" width="9.125" style="30" bestFit="1" customWidth="1"/>
    <col min="3867" max="3867" width="9.25" style="30" bestFit="1" customWidth="1"/>
    <col min="3868" max="4103" width="9" style="30"/>
    <col min="4104" max="4104" width="2.125" style="30" customWidth="1"/>
    <col min="4105" max="4105" width="13" style="30" customWidth="1"/>
    <col min="4106" max="4106" width="7.5" style="30" customWidth="1"/>
    <col min="4107" max="4107" width="7.625" style="30" customWidth="1"/>
    <col min="4108" max="4112" width="9.75" style="30" customWidth="1"/>
    <col min="4113" max="4113" width="8" style="30" customWidth="1"/>
    <col min="4114" max="4114" width="5.375" style="30" customWidth="1"/>
    <col min="4115" max="4115" width="9" style="30"/>
    <col min="4116" max="4116" width="10.25" style="30" customWidth="1"/>
    <col min="4117" max="4117" width="11.25" style="30" customWidth="1"/>
    <col min="4118" max="4120" width="9.125" style="30" bestFit="1" customWidth="1"/>
    <col min="4121" max="4121" width="9.25" style="30" bestFit="1" customWidth="1"/>
    <col min="4122" max="4122" width="9.125" style="30" bestFit="1" customWidth="1"/>
    <col min="4123" max="4123" width="9.25" style="30" bestFit="1" customWidth="1"/>
    <col min="4124" max="4359" width="9" style="30"/>
    <col min="4360" max="4360" width="2.125" style="30" customWidth="1"/>
    <col min="4361" max="4361" width="13" style="30" customWidth="1"/>
    <col min="4362" max="4362" width="7.5" style="30" customWidth="1"/>
    <col min="4363" max="4363" width="7.625" style="30" customWidth="1"/>
    <col min="4364" max="4368" width="9.75" style="30" customWidth="1"/>
    <col min="4369" max="4369" width="8" style="30" customWidth="1"/>
    <col min="4370" max="4370" width="5.375" style="30" customWidth="1"/>
    <col min="4371" max="4371" width="9" style="30"/>
    <col min="4372" max="4372" width="10.25" style="30" customWidth="1"/>
    <col min="4373" max="4373" width="11.25" style="30" customWidth="1"/>
    <col min="4374" max="4376" width="9.125" style="30" bestFit="1" customWidth="1"/>
    <col min="4377" max="4377" width="9.25" style="30" bestFit="1" customWidth="1"/>
    <col min="4378" max="4378" width="9.125" style="30" bestFit="1" customWidth="1"/>
    <col min="4379" max="4379" width="9.25" style="30" bestFit="1" customWidth="1"/>
    <col min="4380" max="4615" width="9" style="30"/>
    <col min="4616" max="4616" width="2.125" style="30" customWidth="1"/>
    <col min="4617" max="4617" width="13" style="30" customWidth="1"/>
    <col min="4618" max="4618" width="7.5" style="30" customWidth="1"/>
    <col min="4619" max="4619" width="7.625" style="30" customWidth="1"/>
    <col min="4620" max="4624" width="9.75" style="30" customWidth="1"/>
    <col min="4625" max="4625" width="8" style="30" customWidth="1"/>
    <col min="4626" max="4626" width="5.375" style="30" customWidth="1"/>
    <col min="4627" max="4627" width="9" style="30"/>
    <col min="4628" max="4628" width="10.25" style="30" customWidth="1"/>
    <col min="4629" max="4629" width="11.25" style="30" customWidth="1"/>
    <col min="4630" max="4632" width="9.125" style="30" bestFit="1" customWidth="1"/>
    <col min="4633" max="4633" width="9.25" style="30" bestFit="1" customWidth="1"/>
    <col min="4634" max="4634" width="9.125" style="30" bestFit="1" customWidth="1"/>
    <col min="4635" max="4635" width="9.25" style="30" bestFit="1" customWidth="1"/>
    <col min="4636" max="4871" width="9" style="30"/>
    <col min="4872" max="4872" width="2.125" style="30" customWidth="1"/>
    <col min="4873" max="4873" width="13" style="30" customWidth="1"/>
    <col min="4874" max="4874" width="7.5" style="30" customWidth="1"/>
    <col min="4875" max="4875" width="7.625" style="30" customWidth="1"/>
    <col min="4876" max="4880" width="9.75" style="30" customWidth="1"/>
    <col min="4881" max="4881" width="8" style="30" customWidth="1"/>
    <col min="4882" max="4882" width="5.375" style="30" customWidth="1"/>
    <col min="4883" max="4883" width="9" style="30"/>
    <col min="4884" max="4884" width="10.25" style="30" customWidth="1"/>
    <col min="4885" max="4885" width="11.25" style="30" customWidth="1"/>
    <col min="4886" max="4888" width="9.125" style="30" bestFit="1" customWidth="1"/>
    <col min="4889" max="4889" width="9.25" style="30" bestFit="1" customWidth="1"/>
    <col min="4890" max="4890" width="9.125" style="30" bestFit="1" customWidth="1"/>
    <col min="4891" max="4891" width="9.25" style="30" bestFit="1" customWidth="1"/>
    <col min="4892" max="5127" width="9" style="30"/>
    <col min="5128" max="5128" width="2.125" style="30" customWidth="1"/>
    <col min="5129" max="5129" width="13" style="30" customWidth="1"/>
    <col min="5130" max="5130" width="7.5" style="30" customWidth="1"/>
    <col min="5131" max="5131" width="7.625" style="30" customWidth="1"/>
    <col min="5132" max="5136" width="9.75" style="30" customWidth="1"/>
    <col min="5137" max="5137" width="8" style="30" customWidth="1"/>
    <col min="5138" max="5138" width="5.375" style="30" customWidth="1"/>
    <col min="5139" max="5139" width="9" style="30"/>
    <col min="5140" max="5140" width="10.25" style="30" customWidth="1"/>
    <col min="5141" max="5141" width="11.25" style="30" customWidth="1"/>
    <col min="5142" max="5144" width="9.125" style="30" bestFit="1" customWidth="1"/>
    <col min="5145" max="5145" width="9.25" style="30" bestFit="1" customWidth="1"/>
    <col min="5146" max="5146" width="9.125" style="30" bestFit="1" customWidth="1"/>
    <col min="5147" max="5147" width="9.25" style="30" bestFit="1" customWidth="1"/>
    <col min="5148" max="5383" width="9" style="30"/>
    <col min="5384" max="5384" width="2.125" style="30" customWidth="1"/>
    <col min="5385" max="5385" width="13" style="30" customWidth="1"/>
    <col min="5386" max="5386" width="7.5" style="30" customWidth="1"/>
    <col min="5387" max="5387" width="7.625" style="30" customWidth="1"/>
    <col min="5388" max="5392" width="9.75" style="30" customWidth="1"/>
    <col min="5393" max="5393" width="8" style="30" customWidth="1"/>
    <col min="5394" max="5394" width="5.375" style="30" customWidth="1"/>
    <col min="5395" max="5395" width="9" style="30"/>
    <col min="5396" max="5396" width="10.25" style="30" customWidth="1"/>
    <col min="5397" max="5397" width="11.25" style="30" customWidth="1"/>
    <col min="5398" max="5400" width="9.125" style="30" bestFit="1" customWidth="1"/>
    <col min="5401" max="5401" width="9.25" style="30" bestFit="1" customWidth="1"/>
    <col min="5402" max="5402" width="9.125" style="30" bestFit="1" customWidth="1"/>
    <col min="5403" max="5403" width="9.25" style="30" bestFit="1" customWidth="1"/>
    <col min="5404" max="5639" width="9" style="30"/>
    <col min="5640" max="5640" width="2.125" style="30" customWidth="1"/>
    <col min="5641" max="5641" width="13" style="30" customWidth="1"/>
    <col min="5642" max="5642" width="7.5" style="30" customWidth="1"/>
    <col min="5643" max="5643" width="7.625" style="30" customWidth="1"/>
    <col min="5644" max="5648" width="9.75" style="30" customWidth="1"/>
    <col min="5649" max="5649" width="8" style="30" customWidth="1"/>
    <col min="5650" max="5650" width="5.375" style="30" customWidth="1"/>
    <col min="5651" max="5651" width="9" style="30"/>
    <col min="5652" max="5652" width="10.25" style="30" customWidth="1"/>
    <col min="5653" max="5653" width="11.25" style="30" customWidth="1"/>
    <col min="5654" max="5656" width="9.125" style="30" bestFit="1" customWidth="1"/>
    <col min="5657" max="5657" width="9.25" style="30" bestFit="1" customWidth="1"/>
    <col min="5658" max="5658" width="9.125" style="30" bestFit="1" customWidth="1"/>
    <col min="5659" max="5659" width="9.25" style="30" bestFit="1" customWidth="1"/>
    <col min="5660" max="5895" width="9" style="30"/>
    <col min="5896" max="5896" width="2.125" style="30" customWidth="1"/>
    <col min="5897" max="5897" width="13" style="30" customWidth="1"/>
    <col min="5898" max="5898" width="7.5" style="30" customWidth="1"/>
    <col min="5899" max="5899" width="7.625" style="30" customWidth="1"/>
    <col min="5900" max="5904" width="9.75" style="30" customWidth="1"/>
    <col min="5905" max="5905" width="8" style="30" customWidth="1"/>
    <col min="5906" max="5906" width="5.375" style="30" customWidth="1"/>
    <col min="5907" max="5907" width="9" style="30"/>
    <col min="5908" max="5908" width="10.25" style="30" customWidth="1"/>
    <col min="5909" max="5909" width="11.25" style="30" customWidth="1"/>
    <col min="5910" max="5912" width="9.125" style="30" bestFit="1" customWidth="1"/>
    <col min="5913" max="5913" width="9.25" style="30" bestFit="1" customWidth="1"/>
    <col min="5914" max="5914" width="9.125" style="30" bestFit="1" customWidth="1"/>
    <col min="5915" max="5915" width="9.25" style="30" bestFit="1" customWidth="1"/>
    <col min="5916" max="6151" width="9" style="30"/>
    <col min="6152" max="6152" width="2.125" style="30" customWidth="1"/>
    <col min="6153" max="6153" width="13" style="30" customWidth="1"/>
    <col min="6154" max="6154" width="7.5" style="30" customWidth="1"/>
    <col min="6155" max="6155" width="7.625" style="30" customWidth="1"/>
    <col min="6156" max="6160" width="9.75" style="30" customWidth="1"/>
    <col min="6161" max="6161" width="8" style="30" customWidth="1"/>
    <col min="6162" max="6162" width="5.375" style="30" customWidth="1"/>
    <col min="6163" max="6163" width="9" style="30"/>
    <col min="6164" max="6164" width="10.25" style="30" customWidth="1"/>
    <col min="6165" max="6165" width="11.25" style="30" customWidth="1"/>
    <col min="6166" max="6168" width="9.125" style="30" bestFit="1" customWidth="1"/>
    <col min="6169" max="6169" width="9.25" style="30" bestFit="1" customWidth="1"/>
    <col min="6170" max="6170" width="9.125" style="30" bestFit="1" customWidth="1"/>
    <col min="6171" max="6171" width="9.25" style="30" bestFit="1" customWidth="1"/>
    <col min="6172" max="6407" width="9" style="30"/>
    <col min="6408" max="6408" width="2.125" style="30" customWidth="1"/>
    <col min="6409" max="6409" width="13" style="30" customWidth="1"/>
    <col min="6410" max="6410" width="7.5" style="30" customWidth="1"/>
    <col min="6411" max="6411" width="7.625" style="30" customWidth="1"/>
    <col min="6412" max="6416" width="9.75" style="30" customWidth="1"/>
    <col min="6417" max="6417" width="8" style="30" customWidth="1"/>
    <col min="6418" max="6418" width="5.375" style="30" customWidth="1"/>
    <col min="6419" max="6419" width="9" style="30"/>
    <col min="6420" max="6420" width="10.25" style="30" customWidth="1"/>
    <col min="6421" max="6421" width="11.25" style="30" customWidth="1"/>
    <col min="6422" max="6424" width="9.125" style="30" bestFit="1" customWidth="1"/>
    <col min="6425" max="6425" width="9.25" style="30" bestFit="1" customWidth="1"/>
    <col min="6426" max="6426" width="9.125" style="30" bestFit="1" customWidth="1"/>
    <col min="6427" max="6427" width="9.25" style="30" bestFit="1" customWidth="1"/>
    <col min="6428" max="6663" width="9" style="30"/>
    <col min="6664" max="6664" width="2.125" style="30" customWidth="1"/>
    <col min="6665" max="6665" width="13" style="30" customWidth="1"/>
    <col min="6666" max="6666" width="7.5" style="30" customWidth="1"/>
    <col min="6667" max="6667" width="7.625" style="30" customWidth="1"/>
    <col min="6668" max="6672" width="9.75" style="30" customWidth="1"/>
    <col min="6673" max="6673" width="8" style="30" customWidth="1"/>
    <col min="6674" max="6674" width="5.375" style="30" customWidth="1"/>
    <col min="6675" max="6675" width="9" style="30"/>
    <col min="6676" max="6676" width="10.25" style="30" customWidth="1"/>
    <col min="6677" max="6677" width="11.25" style="30" customWidth="1"/>
    <col min="6678" max="6680" width="9.125" style="30" bestFit="1" customWidth="1"/>
    <col min="6681" max="6681" width="9.25" style="30" bestFit="1" customWidth="1"/>
    <col min="6682" max="6682" width="9.125" style="30" bestFit="1" customWidth="1"/>
    <col min="6683" max="6683" width="9.25" style="30" bestFit="1" customWidth="1"/>
    <col min="6684" max="6919" width="9" style="30"/>
    <col min="6920" max="6920" width="2.125" style="30" customWidth="1"/>
    <col min="6921" max="6921" width="13" style="30" customWidth="1"/>
    <col min="6922" max="6922" width="7.5" style="30" customWidth="1"/>
    <col min="6923" max="6923" width="7.625" style="30" customWidth="1"/>
    <col min="6924" max="6928" width="9.75" style="30" customWidth="1"/>
    <col min="6929" max="6929" width="8" style="30" customWidth="1"/>
    <col min="6930" max="6930" width="5.375" style="30" customWidth="1"/>
    <col min="6931" max="6931" width="9" style="30"/>
    <col min="6932" max="6932" width="10.25" style="30" customWidth="1"/>
    <col min="6933" max="6933" width="11.25" style="30" customWidth="1"/>
    <col min="6934" max="6936" width="9.125" style="30" bestFit="1" customWidth="1"/>
    <col min="6937" max="6937" width="9.25" style="30" bestFit="1" customWidth="1"/>
    <col min="6938" max="6938" width="9.125" style="30" bestFit="1" customWidth="1"/>
    <col min="6939" max="6939" width="9.25" style="30" bestFit="1" customWidth="1"/>
    <col min="6940" max="7175" width="9" style="30"/>
    <col min="7176" max="7176" width="2.125" style="30" customWidth="1"/>
    <col min="7177" max="7177" width="13" style="30" customWidth="1"/>
    <col min="7178" max="7178" width="7.5" style="30" customWidth="1"/>
    <col min="7179" max="7179" width="7.625" style="30" customWidth="1"/>
    <col min="7180" max="7184" width="9.75" style="30" customWidth="1"/>
    <col min="7185" max="7185" width="8" style="30" customWidth="1"/>
    <col min="7186" max="7186" width="5.375" style="30" customWidth="1"/>
    <col min="7187" max="7187" width="9" style="30"/>
    <col min="7188" max="7188" width="10.25" style="30" customWidth="1"/>
    <col min="7189" max="7189" width="11.25" style="30" customWidth="1"/>
    <col min="7190" max="7192" width="9.125" style="30" bestFit="1" customWidth="1"/>
    <col min="7193" max="7193" width="9.25" style="30" bestFit="1" customWidth="1"/>
    <col min="7194" max="7194" width="9.125" style="30" bestFit="1" customWidth="1"/>
    <col min="7195" max="7195" width="9.25" style="30" bestFit="1" customWidth="1"/>
    <col min="7196" max="7431" width="9" style="30"/>
    <col min="7432" max="7432" width="2.125" style="30" customWidth="1"/>
    <col min="7433" max="7433" width="13" style="30" customWidth="1"/>
    <col min="7434" max="7434" width="7.5" style="30" customWidth="1"/>
    <col min="7435" max="7435" width="7.625" style="30" customWidth="1"/>
    <col min="7436" max="7440" width="9.75" style="30" customWidth="1"/>
    <col min="7441" max="7441" width="8" style="30" customWidth="1"/>
    <col min="7442" max="7442" width="5.375" style="30" customWidth="1"/>
    <col min="7443" max="7443" width="9" style="30"/>
    <col min="7444" max="7444" width="10.25" style="30" customWidth="1"/>
    <col min="7445" max="7445" width="11.25" style="30" customWidth="1"/>
    <col min="7446" max="7448" width="9.125" style="30" bestFit="1" customWidth="1"/>
    <col min="7449" max="7449" width="9.25" style="30" bestFit="1" customWidth="1"/>
    <col min="7450" max="7450" width="9.125" style="30" bestFit="1" customWidth="1"/>
    <col min="7451" max="7451" width="9.25" style="30" bestFit="1" customWidth="1"/>
    <col min="7452" max="7687" width="9" style="30"/>
    <col min="7688" max="7688" width="2.125" style="30" customWidth="1"/>
    <col min="7689" max="7689" width="13" style="30" customWidth="1"/>
    <col min="7690" max="7690" width="7.5" style="30" customWidth="1"/>
    <col min="7691" max="7691" width="7.625" style="30" customWidth="1"/>
    <col min="7692" max="7696" width="9.75" style="30" customWidth="1"/>
    <col min="7697" max="7697" width="8" style="30" customWidth="1"/>
    <col min="7698" max="7698" width="5.375" style="30" customWidth="1"/>
    <col min="7699" max="7699" width="9" style="30"/>
    <col min="7700" max="7700" width="10.25" style="30" customWidth="1"/>
    <col min="7701" max="7701" width="11.25" style="30" customWidth="1"/>
    <col min="7702" max="7704" width="9.125" style="30" bestFit="1" customWidth="1"/>
    <col min="7705" max="7705" width="9.25" style="30" bestFit="1" customWidth="1"/>
    <col min="7706" max="7706" width="9.125" style="30" bestFit="1" customWidth="1"/>
    <col min="7707" max="7707" width="9.25" style="30" bestFit="1" customWidth="1"/>
    <col min="7708" max="7943" width="9" style="30"/>
    <col min="7944" max="7944" width="2.125" style="30" customWidth="1"/>
    <col min="7945" max="7945" width="13" style="30" customWidth="1"/>
    <col min="7946" max="7946" width="7.5" style="30" customWidth="1"/>
    <col min="7947" max="7947" width="7.625" style="30" customWidth="1"/>
    <col min="7948" max="7952" width="9.75" style="30" customWidth="1"/>
    <col min="7953" max="7953" width="8" style="30" customWidth="1"/>
    <col min="7954" max="7954" width="5.375" style="30" customWidth="1"/>
    <col min="7955" max="7955" width="9" style="30"/>
    <col min="7956" max="7956" width="10.25" style="30" customWidth="1"/>
    <col min="7957" max="7957" width="11.25" style="30" customWidth="1"/>
    <col min="7958" max="7960" width="9.125" style="30" bestFit="1" customWidth="1"/>
    <col min="7961" max="7961" width="9.25" style="30" bestFit="1" customWidth="1"/>
    <col min="7962" max="7962" width="9.125" style="30" bestFit="1" customWidth="1"/>
    <col min="7963" max="7963" width="9.25" style="30" bestFit="1" customWidth="1"/>
    <col min="7964" max="8199" width="9" style="30"/>
    <col min="8200" max="8200" width="2.125" style="30" customWidth="1"/>
    <col min="8201" max="8201" width="13" style="30" customWidth="1"/>
    <col min="8202" max="8202" width="7.5" style="30" customWidth="1"/>
    <col min="8203" max="8203" width="7.625" style="30" customWidth="1"/>
    <col min="8204" max="8208" width="9.75" style="30" customWidth="1"/>
    <col min="8209" max="8209" width="8" style="30" customWidth="1"/>
    <col min="8210" max="8210" width="5.375" style="30" customWidth="1"/>
    <col min="8211" max="8211" width="9" style="30"/>
    <col min="8212" max="8212" width="10.25" style="30" customWidth="1"/>
    <col min="8213" max="8213" width="11.25" style="30" customWidth="1"/>
    <col min="8214" max="8216" width="9.125" style="30" bestFit="1" customWidth="1"/>
    <col min="8217" max="8217" width="9.25" style="30" bestFit="1" customWidth="1"/>
    <col min="8218" max="8218" width="9.125" style="30" bestFit="1" customWidth="1"/>
    <col min="8219" max="8219" width="9.25" style="30" bestFit="1" customWidth="1"/>
    <col min="8220" max="8455" width="9" style="30"/>
    <col min="8456" max="8456" width="2.125" style="30" customWidth="1"/>
    <col min="8457" max="8457" width="13" style="30" customWidth="1"/>
    <col min="8458" max="8458" width="7.5" style="30" customWidth="1"/>
    <col min="8459" max="8459" width="7.625" style="30" customWidth="1"/>
    <col min="8460" max="8464" width="9.75" style="30" customWidth="1"/>
    <col min="8465" max="8465" width="8" style="30" customWidth="1"/>
    <col min="8466" max="8466" width="5.375" style="30" customWidth="1"/>
    <col min="8467" max="8467" width="9" style="30"/>
    <col min="8468" max="8468" width="10.25" style="30" customWidth="1"/>
    <col min="8469" max="8469" width="11.25" style="30" customWidth="1"/>
    <col min="8470" max="8472" width="9.125" style="30" bestFit="1" customWidth="1"/>
    <col min="8473" max="8473" width="9.25" style="30" bestFit="1" customWidth="1"/>
    <col min="8474" max="8474" width="9.125" style="30" bestFit="1" customWidth="1"/>
    <col min="8475" max="8475" width="9.25" style="30" bestFit="1" customWidth="1"/>
    <col min="8476" max="8711" width="9" style="30"/>
    <col min="8712" max="8712" width="2.125" style="30" customWidth="1"/>
    <col min="8713" max="8713" width="13" style="30" customWidth="1"/>
    <col min="8714" max="8714" width="7.5" style="30" customWidth="1"/>
    <col min="8715" max="8715" width="7.625" style="30" customWidth="1"/>
    <col min="8716" max="8720" width="9.75" style="30" customWidth="1"/>
    <col min="8721" max="8721" width="8" style="30" customWidth="1"/>
    <col min="8722" max="8722" width="5.375" style="30" customWidth="1"/>
    <col min="8723" max="8723" width="9" style="30"/>
    <col min="8724" max="8724" width="10.25" style="30" customWidth="1"/>
    <col min="8725" max="8725" width="11.25" style="30" customWidth="1"/>
    <col min="8726" max="8728" width="9.125" style="30" bestFit="1" customWidth="1"/>
    <col min="8729" max="8729" width="9.25" style="30" bestFit="1" customWidth="1"/>
    <col min="8730" max="8730" width="9.125" style="30" bestFit="1" customWidth="1"/>
    <col min="8731" max="8731" width="9.25" style="30" bestFit="1" customWidth="1"/>
    <col min="8732" max="8967" width="9" style="30"/>
    <col min="8968" max="8968" width="2.125" style="30" customWidth="1"/>
    <col min="8969" max="8969" width="13" style="30" customWidth="1"/>
    <col min="8970" max="8970" width="7.5" style="30" customWidth="1"/>
    <col min="8971" max="8971" width="7.625" style="30" customWidth="1"/>
    <col min="8972" max="8976" width="9.75" style="30" customWidth="1"/>
    <col min="8977" max="8977" width="8" style="30" customWidth="1"/>
    <col min="8978" max="8978" width="5.375" style="30" customWidth="1"/>
    <col min="8979" max="8979" width="9" style="30"/>
    <col min="8980" max="8980" width="10.25" style="30" customWidth="1"/>
    <col min="8981" max="8981" width="11.25" style="30" customWidth="1"/>
    <col min="8982" max="8984" width="9.125" style="30" bestFit="1" customWidth="1"/>
    <col min="8985" max="8985" width="9.25" style="30" bestFit="1" customWidth="1"/>
    <col min="8986" max="8986" width="9.125" style="30" bestFit="1" customWidth="1"/>
    <col min="8987" max="8987" width="9.25" style="30" bestFit="1" customWidth="1"/>
    <col min="8988" max="9223" width="9" style="30"/>
    <col min="9224" max="9224" width="2.125" style="30" customWidth="1"/>
    <col min="9225" max="9225" width="13" style="30" customWidth="1"/>
    <col min="9226" max="9226" width="7.5" style="30" customWidth="1"/>
    <col min="9227" max="9227" width="7.625" style="30" customWidth="1"/>
    <col min="9228" max="9232" width="9.75" style="30" customWidth="1"/>
    <col min="9233" max="9233" width="8" style="30" customWidth="1"/>
    <col min="9234" max="9234" width="5.375" style="30" customWidth="1"/>
    <col min="9235" max="9235" width="9" style="30"/>
    <col min="9236" max="9236" width="10.25" style="30" customWidth="1"/>
    <col min="9237" max="9237" width="11.25" style="30" customWidth="1"/>
    <col min="9238" max="9240" width="9.125" style="30" bestFit="1" customWidth="1"/>
    <col min="9241" max="9241" width="9.25" style="30" bestFit="1" customWidth="1"/>
    <col min="9242" max="9242" width="9.125" style="30" bestFit="1" customWidth="1"/>
    <col min="9243" max="9243" width="9.25" style="30" bestFit="1" customWidth="1"/>
    <col min="9244" max="9479" width="9" style="30"/>
    <col min="9480" max="9480" width="2.125" style="30" customWidth="1"/>
    <col min="9481" max="9481" width="13" style="30" customWidth="1"/>
    <col min="9482" max="9482" width="7.5" style="30" customWidth="1"/>
    <col min="9483" max="9483" width="7.625" style="30" customWidth="1"/>
    <col min="9484" max="9488" width="9.75" style="30" customWidth="1"/>
    <col min="9489" max="9489" width="8" style="30" customWidth="1"/>
    <col min="9490" max="9490" width="5.375" style="30" customWidth="1"/>
    <col min="9491" max="9491" width="9" style="30"/>
    <col min="9492" max="9492" width="10.25" style="30" customWidth="1"/>
    <col min="9493" max="9493" width="11.25" style="30" customWidth="1"/>
    <col min="9494" max="9496" width="9.125" style="30" bestFit="1" customWidth="1"/>
    <col min="9497" max="9497" width="9.25" style="30" bestFit="1" customWidth="1"/>
    <col min="9498" max="9498" width="9.125" style="30" bestFit="1" customWidth="1"/>
    <col min="9499" max="9499" width="9.25" style="30" bestFit="1" customWidth="1"/>
    <col min="9500" max="9735" width="9" style="30"/>
    <col min="9736" max="9736" width="2.125" style="30" customWidth="1"/>
    <col min="9737" max="9737" width="13" style="30" customWidth="1"/>
    <col min="9738" max="9738" width="7.5" style="30" customWidth="1"/>
    <col min="9739" max="9739" width="7.625" style="30" customWidth="1"/>
    <col min="9740" max="9744" width="9.75" style="30" customWidth="1"/>
    <col min="9745" max="9745" width="8" style="30" customWidth="1"/>
    <col min="9746" max="9746" width="5.375" style="30" customWidth="1"/>
    <col min="9747" max="9747" width="9" style="30"/>
    <col min="9748" max="9748" width="10.25" style="30" customWidth="1"/>
    <col min="9749" max="9749" width="11.25" style="30" customWidth="1"/>
    <col min="9750" max="9752" width="9.125" style="30" bestFit="1" customWidth="1"/>
    <col min="9753" max="9753" width="9.25" style="30" bestFit="1" customWidth="1"/>
    <col min="9754" max="9754" width="9.125" style="30" bestFit="1" customWidth="1"/>
    <col min="9755" max="9755" width="9.25" style="30" bestFit="1" customWidth="1"/>
    <col min="9756" max="9991" width="9" style="30"/>
    <col min="9992" max="9992" width="2.125" style="30" customWidth="1"/>
    <col min="9993" max="9993" width="13" style="30" customWidth="1"/>
    <col min="9994" max="9994" width="7.5" style="30" customWidth="1"/>
    <col min="9995" max="9995" width="7.625" style="30" customWidth="1"/>
    <col min="9996" max="10000" width="9.75" style="30" customWidth="1"/>
    <col min="10001" max="10001" width="8" style="30" customWidth="1"/>
    <col min="10002" max="10002" width="5.375" style="30" customWidth="1"/>
    <col min="10003" max="10003" width="9" style="30"/>
    <col min="10004" max="10004" width="10.25" style="30" customWidth="1"/>
    <col min="10005" max="10005" width="11.25" style="30" customWidth="1"/>
    <col min="10006" max="10008" width="9.125" style="30" bestFit="1" customWidth="1"/>
    <col min="10009" max="10009" width="9.25" style="30" bestFit="1" customWidth="1"/>
    <col min="10010" max="10010" width="9.125" style="30" bestFit="1" customWidth="1"/>
    <col min="10011" max="10011" width="9.25" style="30" bestFit="1" customWidth="1"/>
    <col min="10012" max="10247" width="9" style="30"/>
    <col min="10248" max="10248" width="2.125" style="30" customWidth="1"/>
    <col min="10249" max="10249" width="13" style="30" customWidth="1"/>
    <col min="10250" max="10250" width="7.5" style="30" customWidth="1"/>
    <col min="10251" max="10251" width="7.625" style="30" customWidth="1"/>
    <col min="10252" max="10256" width="9.75" style="30" customWidth="1"/>
    <col min="10257" max="10257" width="8" style="30" customWidth="1"/>
    <col min="10258" max="10258" width="5.375" style="30" customWidth="1"/>
    <col min="10259" max="10259" width="9" style="30"/>
    <col min="10260" max="10260" width="10.25" style="30" customWidth="1"/>
    <col min="10261" max="10261" width="11.25" style="30" customWidth="1"/>
    <col min="10262" max="10264" width="9.125" style="30" bestFit="1" customWidth="1"/>
    <col min="10265" max="10265" width="9.25" style="30" bestFit="1" customWidth="1"/>
    <col min="10266" max="10266" width="9.125" style="30" bestFit="1" customWidth="1"/>
    <col min="10267" max="10267" width="9.25" style="30" bestFit="1" customWidth="1"/>
    <col min="10268" max="10503" width="9" style="30"/>
    <col min="10504" max="10504" width="2.125" style="30" customWidth="1"/>
    <col min="10505" max="10505" width="13" style="30" customWidth="1"/>
    <col min="10506" max="10506" width="7.5" style="30" customWidth="1"/>
    <col min="10507" max="10507" width="7.625" style="30" customWidth="1"/>
    <col min="10508" max="10512" width="9.75" style="30" customWidth="1"/>
    <col min="10513" max="10513" width="8" style="30" customWidth="1"/>
    <col min="10514" max="10514" width="5.375" style="30" customWidth="1"/>
    <col min="10515" max="10515" width="9" style="30"/>
    <col min="10516" max="10516" width="10.25" style="30" customWidth="1"/>
    <col min="10517" max="10517" width="11.25" style="30" customWidth="1"/>
    <col min="10518" max="10520" width="9.125" style="30" bestFit="1" customWidth="1"/>
    <col min="10521" max="10521" width="9.25" style="30" bestFit="1" customWidth="1"/>
    <col min="10522" max="10522" width="9.125" style="30" bestFit="1" customWidth="1"/>
    <col min="10523" max="10523" width="9.25" style="30" bestFit="1" customWidth="1"/>
    <col min="10524" max="10759" width="9" style="30"/>
    <col min="10760" max="10760" width="2.125" style="30" customWidth="1"/>
    <col min="10761" max="10761" width="13" style="30" customWidth="1"/>
    <col min="10762" max="10762" width="7.5" style="30" customWidth="1"/>
    <col min="10763" max="10763" width="7.625" style="30" customWidth="1"/>
    <col min="10764" max="10768" width="9.75" style="30" customWidth="1"/>
    <col min="10769" max="10769" width="8" style="30" customWidth="1"/>
    <col min="10770" max="10770" width="5.375" style="30" customWidth="1"/>
    <col min="10771" max="10771" width="9" style="30"/>
    <col min="10772" max="10772" width="10.25" style="30" customWidth="1"/>
    <col min="10773" max="10773" width="11.25" style="30" customWidth="1"/>
    <col min="10774" max="10776" width="9.125" style="30" bestFit="1" customWidth="1"/>
    <col min="10777" max="10777" width="9.25" style="30" bestFit="1" customWidth="1"/>
    <col min="10778" max="10778" width="9.125" style="30" bestFit="1" customWidth="1"/>
    <col min="10779" max="10779" width="9.25" style="30" bestFit="1" customWidth="1"/>
    <col min="10780" max="11015" width="9" style="30"/>
    <col min="11016" max="11016" width="2.125" style="30" customWidth="1"/>
    <col min="11017" max="11017" width="13" style="30" customWidth="1"/>
    <col min="11018" max="11018" width="7.5" style="30" customWidth="1"/>
    <col min="11019" max="11019" width="7.625" style="30" customWidth="1"/>
    <col min="11020" max="11024" width="9.75" style="30" customWidth="1"/>
    <col min="11025" max="11025" width="8" style="30" customWidth="1"/>
    <col min="11026" max="11026" width="5.375" style="30" customWidth="1"/>
    <col min="11027" max="11027" width="9" style="30"/>
    <col min="11028" max="11028" width="10.25" style="30" customWidth="1"/>
    <col min="11029" max="11029" width="11.25" style="30" customWidth="1"/>
    <col min="11030" max="11032" width="9.125" style="30" bestFit="1" customWidth="1"/>
    <col min="11033" max="11033" width="9.25" style="30" bestFit="1" customWidth="1"/>
    <col min="11034" max="11034" width="9.125" style="30" bestFit="1" customWidth="1"/>
    <col min="11035" max="11035" width="9.25" style="30" bestFit="1" customWidth="1"/>
    <col min="11036" max="11271" width="9" style="30"/>
    <col min="11272" max="11272" width="2.125" style="30" customWidth="1"/>
    <col min="11273" max="11273" width="13" style="30" customWidth="1"/>
    <col min="11274" max="11274" width="7.5" style="30" customWidth="1"/>
    <col min="11275" max="11275" width="7.625" style="30" customWidth="1"/>
    <col min="11276" max="11280" width="9.75" style="30" customWidth="1"/>
    <col min="11281" max="11281" width="8" style="30" customWidth="1"/>
    <col min="11282" max="11282" width="5.375" style="30" customWidth="1"/>
    <col min="11283" max="11283" width="9" style="30"/>
    <col min="11284" max="11284" width="10.25" style="30" customWidth="1"/>
    <col min="11285" max="11285" width="11.25" style="30" customWidth="1"/>
    <col min="11286" max="11288" width="9.125" style="30" bestFit="1" customWidth="1"/>
    <col min="11289" max="11289" width="9.25" style="30" bestFit="1" customWidth="1"/>
    <col min="11290" max="11290" width="9.125" style="30" bestFit="1" customWidth="1"/>
    <col min="11291" max="11291" width="9.25" style="30" bestFit="1" customWidth="1"/>
    <col min="11292" max="11527" width="9" style="30"/>
    <col min="11528" max="11528" width="2.125" style="30" customWidth="1"/>
    <col min="11529" max="11529" width="13" style="30" customWidth="1"/>
    <col min="11530" max="11530" width="7.5" style="30" customWidth="1"/>
    <col min="11531" max="11531" width="7.625" style="30" customWidth="1"/>
    <col min="11532" max="11536" width="9.75" style="30" customWidth="1"/>
    <col min="11537" max="11537" width="8" style="30" customWidth="1"/>
    <col min="11538" max="11538" width="5.375" style="30" customWidth="1"/>
    <col min="11539" max="11539" width="9" style="30"/>
    <col min="11540" max="11540" width="10.25" style="30" customWidth="1"/>
    <col min="11541" max="11541" width="11.25" style="30" customWidth="1"/>
    <col min="11542" max="11544" width="9.125" style="30" bestFit="1" customWidth="1"/>
    <col min="11545" max="11545" width="9.25" style="30" bestFit="1" customWidth="1"/>
    <col min="11546" max="11546" width="9.125" style="30" bestFit="1" customWidth="1"/>
    <col min="11547" max="11547" width="9.25" style="30" bestFit="1" customWidth="1"/>
    <col min="11548" max="11783" width="9" style="30"/>
    <col min="11784" max="11784" width="2.125" style="30" customWidth="1"/>
    <col min="11785" max="11785" width="13" style="30" customWidth="1"/>
    <col min="11786" max="11786" width="7.5" style="30" customWidth="1"/>
    <col min="11787" max="11787" width="7.625" style="30" customWidth="1"/>
    <col min="11788" max="11792" width="9.75" style="30" customWidth="1"/>
    <col min="11793" max="11793" width="8" style="30" customWidth="1"/>
    <col min="11794" max="11794" width="5.375" style="30" customWidth="1"/>
    <col min="11795" max="11795" width="9" style="30"/>
    <col min="11796" max="11796" width="10.25" style="30" customWidth="1"/>
    <col min="11797" max="11797" width="11.25" style="30" customWidth="1"/>
    <col min="11798" max="11800" width="9.125" style="30" bestFit="1" customWidth="1"/>
    <col min="11801" max="11801" width="9.25" style="30" bestFit="1" customWidth="1"/>
    <col min="11802" max="11802" width="9.125" style="30" bestFit="1" customWidth="1"/>
    <col min="11803" max="11803" width="9.25" style="30" bestFit="1" customWidth="1"/>
    <col min="11804" max="12039" width="9" style="30"/>
    <col min="12040" max="12040" width="2.125" style="30" customWidth="1"/>
    <col min="12041" max="12041" width="13" style="30" customWidth="1"/>
    <col min="12042" max="12042" width="7.5" style="30" customWidth="1"/>
    <col min="12043" max="12043" width="7.625" style="30" customWidth="1"/>
    <col min="12044" max="12048" width="9.75" style="30" customWidth="1"/>
    <col min="12049" max="12049" width="8" style="30" customWidth="1"/>
    <col min="12050" max="12050" width="5.375" style="30" customWidth="1"/>
    <col min="12051" max="12051" width="9" style="30"/>
    <col min="12052" max="12052" width="10.25" style="30" customWidth="1"/>
    <col min="12053" max="12053" width="11.25" style="30" customWidth="1"/>
    <col min="12054" max="12056" width="9.125" style="30" bestFit="1" customWidth="1"/>
    <col min="12057" max="12057" width="9.25" style="30" bestFit="1" customWidth="1"/>
    <col min="12058" max="12058" width="9.125" style="30" bestFit="1" customWidth="1"/>
    <col min="12059" max="12059" width="9.25" style="30" bestFit="1" customWidth="1"/>
    <col min="12060" max="12295" width="9" style="30"/>
    <col min="12296" max="12296" width="2.125" style="30" customWidth="1"/>
    <col min="12297" max="12297" width="13" style="30" customWidth="1"/>
    <col min="12298" max="12298" width="7.5" style="30" customWidth="1"/>
    <col min="12299" max="12299" width="7.625" style="30" customWidth="1"/>
    <col min="12300" max="12304" width="9.75" style="30" customWidth="1"/>
    <col min="12305" max="12305" width="8" style="30" customWidth="1"/>
    <col min="12306" max="12306" width="5.375" style="30" customWidth="1"/>
    <col min="12307" max="12307" width="9" style="30"/>
    <col min="12308" max="12308" width="10.25" style="30" customWidth="1"/>
    <col min="12309" max="12309" width="11.25" style="30" customWidth="1"/>
    <col min="12310" max="12312" width="9.125" style="30" bestFit="1" customWidth="1"/>
    <col min="12313" max="12313" width="9.25" style="30" bestFit="1" customWidth="1"/>
    <col min="12314" max="12314" width="9.125" style="30" bestFit="1" customWidth="1"/>
    <col min="12315" max="12315" width="9.25" style="30" bestFit="1" customWidth="1"/>
    <col min="12316" max="12551" width="9" style="30"/>
    <col min="12552" max="12552" width="2.125" style="30" customWidth="1"/>
    <col min="12553" max="12553" width="13" style="30" customWidth="1"/>
    <col min="12554" max="12554" width="7.5" style="30" customWidth="1"/>
    <col min="12555" max="12555" width="7.625" style="30" customWidth="1"/>
    <col min="12556" max="12560" width="9.75" style="30" customWidth="1"/>
    <col min="12561" max="12561" width="8" style="30" customWidth="1"/>
    <col min="12562" max="12562" width="5.375" style="30" customWidth="1"/>
    <col min="12563" max="12563" width="9" style="30"/>
    <col min="12564" max="12564" width="10.25" style="30" customWidth="1"/>
    <col min="12565" max="12565" width="11.25" style="30" customWidth="1"/>
    <col min="12566" max="12568" width="9.125" style="30" bestFit="1" customWidth="1"/>
    <col min="12569" max="12569" width="9.25" style="30" bestFit="1" customWidth="1"/>
    <col min="12570" max="12570" width="9.125" style="30" bestFit="1" customWidth="1"/>
    <col min="12571" max="12571" width="9.25" style="30" bestFit="1" customWidth="1"/>
    <col min="12572" max="12807" width="9" style="30"/>
    <col min="12808" max="12808" width="2.125" style="30" customWidth="1"/>
    <col min="12809" max="12809" width="13" style="30" customWidth="1"/>
    <col min="12810" max="12810" width="7.5" style="30" customWidth="1"/>
    <col min="12811" max="12811" width="7.625" style="30" customWidth="1"/>
    <col min="12812" max="12816" width="9.75" style="30" customWidth="1"/>
    <col min="12817" max="12817" width="8" style="30" customWidth="1"/>
    <col min="12818" max="12818" width="5.375" style="30" customWidth="1"/>
    <col min="12819" max="12819" width="9" style="30"/>
    <col min="12820" max="12820" width="10.25" style="30" customWidth="1"/>
    <col min="12821" max="12821" width="11.25" style="30" customWidth="1"/>
    <col min="12822" max="12824" width="9.125" style="30" bestFit="1" customWidth="1"/>
    <col min="12825" max="12825" width="9.25" style="30" bestFit="1" customWidth="1"/>
    <col min="12826" max="12826" width="9.125" style="30" bestFit="1" customWidth="1"/>
    <col min="12827" max="12827" width="9.25" style="30" bestFit="1" customWidth="1"/>
    <col min="12828" max="13063" width="9" style="30"/>
    <col min="13064" max="13064" width="2.125" style="30" customWidth="1"/>
    <col min="13065" max="13065" width="13" style="30" customWidth="1"/>
    <col min="13066" max="13066" width="7.5" style="30" customWidth="1"/>
    <col min="13067" max="13067" width="7.625" style="30" customWidth="1"/>
    <col min="13068" max="13072" width="9.75" style="30" customWidth="1"/>
    <col min="13073" max="13073" width="8" style="30" customWidth="1"/>
    <col min="13074" max="13074" width="5.375" style="30" customWidth="1"/>
    <col min="13075" max="13075" width="9" style="30"/>
    <col min="13076" max="13076" width="10.25" style="30" customWidth="1"/>
    <col min="13077" max="13077" width="11.25" style="30" customWidth="1"/>
    <col min="13078" max="13080" width="9.125" style="30" bestFit="1" customWidth="1"/>
    <col min="13081" max="13081" width="9.25" style="30" bestFit="1" customWidth="1"/>
    <col min="13082" max="13082" width="9.125" style="30" bestFit="1" customWidth="1"/>
    <col min="13083" max="13083" width="9.25" style="30" bestFit="1" customWidth="1"/>
    <col min="13084" max="13319" width="9" style="30"/>
    <col min="13320" max="13320" width="2.125" style="30" customWidth="1"/>
    <col min="13321" max="13321" width="13" style="30" customWidth="1"/>
    <col min="13322" max="13322" width="7.5" style="30" customWidth="1"/>
    <col min="13323" max="13323" width="7.625" style="30" customWidth="1"/>
    <col min="13324" max="13328" width="9.75" style="30" customWidth="1"/>
    <col min="13329" max="13329" width="8" style="30" customWidth="1"/>
    <col min="13330" max="13330" width="5.375" style="30" customWidth="1"/>
    <col min="13331" max="13331" width="9" style="30"/>
    <col min="13332" max="13332" width="10.25" style="30" customWidth="1"/>
    <col min="13333" max="13333" width="11.25" style="30" customWidth="1"/>
    <col min="13334" max="13336" width="9.125" style="30" bestFit="1" customWidth="1"/>
    <col min="13337" max="13337" width="9.25" style="30" bestFit="1" customWidth="1"/>
    <col min="13338" max="13338" width="9.125" style="30" bestFit="1" customWidth="1"/>
    <col min="13339" max="13339" width="9.25" style="30" bestFit="1" customWidth="1"/>
    <col min="13340" max="13575" width="9" style="30"/>
    <col min="13576" max="13576" width="2.125" style="30" customWidth="1"/>
    <col min="13577" max="13577" width="13" style="30" customWidth="1"/>
    <col min="13578" max="13578" width="7.5" style="30" customWidth="1"/>
    <col min="13579" max="13579" width="7.625" style="30" customWidth="1"/>
    <col min="13580" max="13584" width="9.75" style="30" customWidth="1"/>
    <col min="13585" max="13585" width="8" style="30" customWidth="1"/>
    <col min="13586" max="13586" width="5.375" style="30" customWidth="1"/>
    <col min="13587" max="13587" width="9" style="30"/>
    <col min="13588" max="13588" width="10.25" style="30" customWidth="1"/>
    <col min="13589" max="13589" width="11.25" style="30" customWidth="1"/>
    <col min="13590" max="13592" width="9.125" style="30" bestFit="1" customWidth="1"/>
    <col min="13593" max="13593" width="9.25" style="30" bestFit="1" customWidth="1"/>
    <col min="13594" max="13594" width="9.125" style="30" bestFit="1" customWidth="1"/>
    <col min="13595" max="13595" width="9.25" style="30" bestFit="1" customWidth="1"/>
    <col min="13596" max="13831" width="9" style="30"/>
    <col min="13832" max="13832" width="2.125" style="30" customWidth="1"/>
    <col min="13833" max="13833" width="13" style="30" customWidth="1"/>
    <col min="13834" max="13834" width="7.5" style="30" customWidth="1"/>
    <col min="13835" max="13835" width="7.625" style="30" customWidth="1"/>
    <col min="13836" max="13840" width="9.75" style="30" customWidth="1"/>
    <col min="13841" max="13841" width="8" style="30" customWidth="1"/>
    <col min="13842" max="13842" width="5.375" style="30" customWidth="1"/>
    <col min="13843" max="13843" width="9" style="30"/>
    <col min="13844" max="13844" width="10.25" style="30" customWidth="1"/>
    <col min="13845" max="13845" width="11.25" style="30" customWidth="1"/>
    <col min="13846" max="13848" width="9.125" style="30" bestFit="1" customWidth="1"/>
    <col min="13849" max="13849" width="9.25" style="30" bestFit="1" customWidth="1"/>
    <col min="13850" max="13850" width="9.125" style="30" bestFit="1" customWidth="1"/>
    <col min="13851" max="13851" width="9.25" style="30" bestFit="1" customWidth="1"/>
    <col min="13852" max="14087" width="9" style="30"/>
    <col min="14088" max="14088" width="2.125" style="30" customWidth="1"/>
    <col min="14089" max="14089" width="13" style="30" customWidth="1"/>
    <col min="14090" max="14090" width="7.5" style="30" customWidth="1"/>
    <col min="14091" max="14091" width="7.625" style="30" customWidth="1"/>
    <col min="14092" max="14096" width="9.75" style="30" customWidth="1"/>
    <col min="14097" max="14097" width="8" style="30" customWidth="1"/>
    <col min="14098" max="14098" width="5.375" style="30" customWidth="1"/>
    <col min="14099" max="14099" width="9" style="30"/>
    <col min="14100" max="14100" width="10.25" style="30" customWidth="1"/>
    <col min="14101" max="14101" width="11.25" style="30" customWidth="1"/>
    <col min="14102" max="14104" width="9.125" style="30" bestFit="1" customWidth="1"/>
    <col min="14105" max="14105" width="9.25" style="30" bestFit="1" customWidth="1"/>
    <col min="14106" max="14106" width="9.125" style="30" bestFit="1" customWidth="1"/>
    <col min="14107" max="14107" width="9.25" style="30" bestFit="1" customWidth="1"/>
    <col min="14108" max="14343" width="9" style="30"/>
    <col min="14344" max="14344" width="2.125" style="30" customWidth="1"/>
    <col min="14345" max="14345" width="13" style="30" customWidth="1"/>
    <col min="14346" max="14346" width="7.5" style="30" customWidth="1"/>
    <col min="14347" max="14347" width="7.625" style="30" customWidth="1"/>
    <col min="14348" max="14352" width="9.75" style="30" customWidth="1"/>
    <col min="14353" max="14353" width="8" style="30" customWidth="1"/>
    <col min="14354" max="14354" width="5.375" style="30" customWidth="1"/>
    <col min="14355" max="14355" width="9" style="30"/>
    <col min="14356" max="14356" width="10.25" style="30" customWidth="1"/>
    <col min="14357" max="14357" width="11.25" style="30" customWidth="1"/>
    <col min="14358" max="14360" width="9.125" style="30" bestFit="1" customWidth="1"/>
    <col min="14361" max="14361" width="9.25" style="30" bestFit="1" customWidth="1"/>
    <col min="14362" max="14362" width="9.125" style="30" bestFit="1" customWidth="1"/>
    <col min="14363" max="14363" width="9.25" style="30" bestFit="1" customWidth="1"/>
    <col min="14364" max="14599" width="9" style="30"/>
    <col min="14600" max="14600" width="2.125" style="30" customWidth="1"/>
    <col min="14601" max="14601" width="13" style="30" customWidth="1"/>
    <col min="14602" max="14602" width="7.5" style="30" customWidth="1"/>
    <col min="14603" max="14603" width="7.625" style="30" customWidth="1"/>
    <col min="14604" max="14608" width="9.75" style="30" customWidth="1"/>
    <col min="14609" max="14609" width="8" style="30" customWidth="1"/>
    <col min="14610" max="14610" width="5.375" style="30" customWidth="1"/>
    <col min="14611" max="14611" width="9" style="30"/>
    <col min="14612" max="14612" width="10.25" style="30" customWidth="1"/>
    <col min="14613" max="14613" width="11.25" style="30" customWidth="1"/>
    <col min="14614" max="14616" width="9.125" style="30" bestFit="1" customWidth="1"/>
    <col min="14617" max="14617" width="9.25" style="30" bestFit="1" customWidth="1"/>
    <col min="14618" max="14618" width="9.125" style="30" bestFit="1" customWidth="1"/>
    <col min="14619" max="14619" width="9.25" style="30" bestFit="1" customWidth="1"/>
    <col min="14620" max="14855" width="9" style="30"/>
    <col min="14856" max="14856" width="2.125" style="30" customWidth="1"/>
    <col min="14857" max="14857" width="13" style="30" customWidth="1"/>
    <col min="14858" max="14858" width="7.5" style="30" customWidth="1"/>
    <col min="14859" max="14859" width="7.625" style="30" customWidth="1"/>
    <col min="14860" max="14864" width="9.75" style="30" customWidth="1"/>
    <col min="14865" max="14865" width="8" style="30" customWidth="1"/>
    <col min="14866" max="14866" width="5.375" style="30" customWidth="1"/>
    <col min="14867" max="14867" width="9" style="30"/>
    <col min="14868" max="14868" width="10.25" style="30" customWidth="1"/>
    <col min="14869" max="14869" width="11.25" style="30" customWidth="1"/>
    <col min="14870" max="14872" width="9.125" style="30" bestFit="1" customWidth="1"/>
    <col min="14873" max="14873" width="9.25" style="30" bestFit="1" customWidth="1"/>
    <col min="14874" max="14874" width="9.125" style="30" bestFit="1" customWidth="1"/>
    <col min="14875" max="14875" width="9.25" style="30" bestFit="1" customWidth="1"/>
    <col min="14876" max="15111" width="9" style="30"/>
    <col min="15112" max="15112" width="2.125" style="30" customWidth="1"/>
    <col min="15113" max="15113" width="13" style="30" customWidth="1"/>
    <col min="15114" max="15114" width="7.5" style="30" customWidth="1"/>
    <col min="15115" max="15115" width="7.625" style="30" customWidth="1"/>
    <col min="15116" max="15120" width="9.75" style="30" customWidth="1"/>
    <col min="15121" max="15121" width="8" style="30" customWidth="1"/>
    <col min="15122" max="15122" width="5.375" style="30" customWidth="1"/>
    <col min="15123" max="15123" width="9" style="30"/>
    <col min="15124" max="15124" width="10.25" style="30" customWidth="1"/>
    <col min="15125" max="15125" width="11.25" style="30" customWidth="1"/>
    <col min="15126" max="15128" width="9.125" style="30" bestFit="1" customWidth="1"/>
    <col min="15129" max="15129" width="9.25" style="30" bestFit="1" customWidth="1"/>
    <col min="15130" max="15130" width="9.125" style="30" bestFit="1" customWidth="1"/>
    <col min="15131" max="15131" width="9.25" style="30" bestFit="1" customWidth="1"/>
    <col min="15132" max="15367" width="9" style="30"/>
    <col min="15368" max="15368" width="2.125" style="30" customWidth="1"/>
    <col min="15369" max="15369" width="13" style="30" customWidth="1"/>
    <col min="15370" max="15370" width="7.5" style="30" customWidth="1"/>
    <col min="15371" max="15371" width="7.625" style="30" customWidth="1"/>
    <col min="15372" max="15376" width="9.75" style="30" customWidth="1"/>
    <col min="15377" max="15377" width="8" style="30" customWidth="1"/>
    <col min="15378" max="15378" width="5.375" style="30" customWidth="1"/>
    <col min="15379" max="15379" width="9" style="30"/>
    <col min="15380" max="15380" width="10.25" style="30" customWidth="1"/>
    <col min="15381" max="15381" width="11.25" style="30" customWidth="1"/>
    <col min="15382" max="15384" width="9.125" style="30" bestFit="1" customWidth="1"/>
    <col min="15385" max="15385" width="9.25" style="30" bestFit="1" customWidth="1"/>
    <col min="15386" max="15386" width="9.125" style="30" bestFit="1" customWidth="1"/>
    <col min="15387" max="15387" width="9.25" style="30" bestFit="1" customWidth="1"/>
    <col min="15388" max="15623" width="9" style="30"/>
    <col min="15624" max="15624" width="2.125" style="30" customWidth="1"/>
    <col min="15625" max="15625" width="13" style="30" customWidth="1"/>
    <col min="15626" max="15626" width="7.5" style="30" customWidth="1"/>
    <col min="15627" max="15627" width="7.625" style="30" customWidth="1"/>
    <col min="15628" max="15632" width="9.75" style="30" customWidth="1"/>
    <col min="15633" max="15633" width="8" style="30" customWidth="1"/>
    <col min="15634" max="15634" width="5.375" style="30" customWidth="1"/>
    <col min="15635" max="15635" width="9" style="30"/>
    <col min="15636" max="15636" width="10.25" style="30" customWidth="1"/>
    <col min="15637" max="15637" width="11.25" style="30" customWidth="1"/>
    <col min="15638" max="15640" width="9.125" style="30" bestFit="1" customWidth="1"/>
    <col min="15641" max="15641" width="9.25" style="30" bestFit="1" customWidth="1"/>
    <col min="15642" max="15642" width="9.125" style="30" bestFit="1" customWidth="1"/>
    <col min="15643" max="15643" width="9.25" style="30" bestFit="1" customWidth="1"/>
    <col min="15644" max="15879" width="9" style="30"/>
    <col min="15880" max="15880" width="2.125" style="30" customWidth="1"/>
    <col min="15881" max="15881" width="13" style="30" customWidth="1"/>
    <col min="15882" max="15882" width="7.5" style="30" customWidth="1"/>
    <col min="15883" max="15883" width="7.625" style="30" customWidth="1"/>
    <col min="15884" max="15888" width="9.75" style="30" customWidth="1"/>
    <col min="15889" max="15889" width="8" style="30" customWidth="1"/>
    <col min="15890" max="15890" width="5.375" style="30" customWidth="1"/>
    <col min="15891" max="15891" width="9" style="30"/>
    <col min="15892" max="15892" width="10.25" style="30" customWidth="1"/>
    <col min="15893" max="15893" width="11.25" style="30" customWidth="1"/>
    <col min="15894" max="15896" width="9.125" style="30" bestFit="1" customWidth="1"/>
    <col min="15897" max="15897" width="9.25" style="30" bestFit="1" customWidth="1"/>
    <col min="15898" max="15898" width="9.125" style="30" bestFit="1" customWidth="1"/>
    <col min="15899" max="15899" width="9.25" style="30" bestFit="1" customWidth="1"/>
    <col min="15900" max="16135" width="9" style="30"/>
    <col min="16136" max="16136" width="2.125" style="30" customWidth="1"/>
    <col min="16137" max="16137" width="13" style="30" customWidth="1"/>
    <col min="16138" max="16138" width="7.5" style="30" customWidth="1"/>
    <col min="16139" max="16139" width="7.625" style="30" customWidth="1"/>
    <col min="16140" max="16144" width="9.75" style="30" customWidth="1"/>
    <col min="16145" max="16145" width="8" style="30" customWidth="1"/>
    <col min="16146" max="16146" width="5.375" style="30" customWidth="1"/>
    <col min="16147" max="16147" width="9" style="30"/>
    <col min="16148" max="16148" width="10.25" style="30" customWidth="1"/>
    <col min="16149" max="16149" width="11.25" style="30" customWidth="1"/>
    <col min="16150" max="16152" width="9.125" style="30" bestFit="1" customWidth="1"/>
    <col min="16153" max="16153" width="9.25" style="30" bestFit="1" customWidth="1"/>
    <col min="16154" max="16154" width="9.125" style="30" bestFit="1" customWidth="1"/>
    <col min="16155" max="16155" width="9.25" style="30" bestFit="1" customWidth="1"/>
    <col min="16156" max="16384" width="9" style="30"/>
  </cols>
  <sheetData>
    <row r="1" spans="2:27" ht="15.75" customHeight="1"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191" t="s">
        <v>134</v>
      </c>
      <c r="W1" s="191"/>
      <c r="X1" s="191"/>
      <c r="Y1" s="191"/>
      <c r="Z1" s="191"/>
      <c r="AA1" s="191"/>
    </row>
    <row r="2" spans="2:27" ht="14.25" thickBot="1"/>
    <row r="3" spans="2:27" ht="17.25" customHeight="1" thickBot="1">
      <c r="B3" s="59" t="s">
        <v>112</v>
      </c>
      <c r="C3" s="60">
        <v>47</v>
      </c>
      <c r="D3" s="61" t="s">
        <v>113</v>
      </c>
      <c r="F3" s="34"/>
      <c r="G3" s="35"/>
      <c r="H3" s="34"/>
      <c r="I3" s="192" t="s">
        <v>135</v>
      </c>
      <c r="J3" s="193"/>
      <c r="K3" s="194" t="s">
        <v>114</v>
      </c>
      <c r="L3" s="195"/>
      <c r="M3" s="196" t="s">
        <v>136</v>
      </c>
      <c r="N3" s="197"/>
      <c r="O3" s="200" t="s">
        <v>115</v>
      </c>
      <c r="P3" s="201"/>
      <c r="Q3" s="196" t="s">
        <v>136</v>
      </c>
      <c r="R3" s="197"/>
      <c r="X3" s="36"/>
    </row>
    <row r="4" spans="2:27" ht="17.25" customHeight="1" thickBot="1">
      <c r="B4" s="37"/>
      <c r="C4" s="37"/>
      <c r="D4" s="38" t="s">
        <v>116</v>
      </c>
      <c r="E4" s="36"/>
      <c r="F4" s="34"/>
      <c r="G4" s="35"/>
      <c r="H4" s="34"/>
      <c r="I4" s="52" t="s">
        <v>117</v>
      </c>
      <c r="J4" s="52" t="s">
        <v>118</v>
      </c>
      <c r="K4" s="53" t="s">
        <v>119</v>
      </c>
      <c r="L4" s="54" t="s">
        <v>120</v>
      </c>
      <c r="M4" s="198"/>
      <c r="N4" s="199"/>
      <c r="O4" s="55" t="s">
        <v>119</v>
      </c>
      <c r="P4" s="56" t="s">
        <v>120</v>
      </c>
      <c r="Q4" s="198"/>
      <c r="R4" s="199"/>
      <c r="T4" s="202" t="s">
        <v>137</v>
      </c>
      <c r="U4" s="202"/>
      <c r="V4" s="71">
        <v>3</v>
      </c>
      <c r="W4" s="39" t="s">
        <v>121</v>
      </c>
      <c r="X4" s="36"/>
    </row>
    <row r="5" spans="2:27" ht="17.25" customHeight="1" thickBot="1">
      <c r="B5" s="62" t="s">
        <v>133</v>
      </c>
      <c r="C5" s="63">
        <f>SQRT(C3*1000000/(3*900*PI()))</f>
        <v>74.437556855439084</v>
      </c>
      <c r="D5" s="61" t="s">
        <v>122</v>
      </c>
      <c r="E5" s="30" t="s">
        <v>138</v>
      </c>
      <c r="F5" s="34"/>
      <c r="G5" s="35"/>
      <c r="H5" s="34"/>
      <c r="I5" s="40">
        <v>15</v>
      </c>
      <c r="J5" s="40">
        <v>21.7</v>
      </c>
      <c r="K5" s="40">
        <v>2.8</v>
      </c>
      <c r="L5" s="40">
        <f>J5-(K5*2)</f>
        <v>16.100000000000001</v>
      </c>
      <c r="M5" s="57">
        <f t="shared" ref="M5:M31" si="0">$C$3/((L5/(1000*2))*(L5/(1000*2))*PI()*3600)</f>
        <v>64.128890134717722</v>
      </c>
      <c r="N5" s="58" t="s">
        <v>123</v>
      </c>
      <c r="O5" s="40">
        <v>3.7</v>
      </c>
      <c r="P5" s="40">
        <f t="shared" ref="P5:P31" si="1">J5-(O5*2)</f>
        <v>14.299999999999999</v>
      </c>
      <c r="Q5" s="64">
        <f t="shared" ref="Q5:Q31" si="2">$C$3/((P5/(1000*2))*(P5/(1000*2))*PI()*3600)</f>
        <v>81.289303202211286</v>
      </c>
      <c r="R5" s="65" t="s">
        <v>123</v>
      </c>
      <c r="S5" s="41"/>
      <c r="T5" s="186" t="s">
        <v>139</v>
      </c>
      <c r="U5" s="186"/>
      <c r="V5" s="72">
        <f>0.45*V4</f>
        <v>1.35</v>
      </c>
      <c r="W5" s="42" t="s">
        <v>113</v>
      </c>
      <c r="X5" s="36"/>
    </row>
    <row r="6" spans="2:27" ht="17.25" customHeight="1">
      <c r="C6" s="187"/>
      <c r="D6" s="187"/>
      <c r="E6" s="38"/>
      <c r="F6" s="34"/>
      <c r="G6" s="35"/>
      <c r="H6" s="34"/>
      <c r="I6" s="40">
        <v>20</v>
      </c>
      <c r="J6" s="40">
        <v>27.2</v>
      </c>
      <c r="K6" s="40">
        <v>2.9</v>
      </c>
      <c r="L6" s="40">
        <f t="shared" ref="L6:L31" si="3">J6-(K6*2)</f>
        <v>21.4</v>
      </c>
      <c r="M6" s="57">
        <f t="shared" si="0"/>
        <v>36.297601563062678</v>
      </c>
      <c r="N6" s="58" t="s">
        <v>123</v>
      </c>
      <c r="O6" s="40">
        <v>3.9</v>
      </c>
      <c r="P6" s="40">
        <f t="shared" si="1"/>
        <v>19.399999999999999</v>
      </c>
      <c r="Q6" s="64">
        <f t="shared" si="2"/>
        <v>44.167418460570161</v>
      </c>
      <c r="R6" s="65" t="s">
        <v>123</v>
      </c>
      <c r="S6" s="41"/>
      <c r="T6" s="42" t="s">
        <v>140</v>
      </c>
      <c r="U6" s="42"/>
      <c r="V6" s="73">
        <f>SQRT(V5*1000000/(3*900*PI()))</f>
        <v>12.615662610100799</v>
      </c>
      <c r="W6" s="42" t="s">
        <v>122</v>
      </c>
      <c r="X6" s="30" t="s">
        <v>141</v>
      </c>
    </row>
    <row r="7" spans="2:27" ht="17.25" customHeight="1">
      <c r="C7" s="38"/>
      <c r="D7" s="70" t="s">
        <v>154</v>
      </c>
      <c r="E7" s="38"/>
      <c r="F7" s="34"/>
      <c r="G7" s="35"/>
      <c r="H7" s="34"/>
      <c r="I7" s="40">
        <v>25</v>
      </c>
      <c r="J7" s="40">
        <v>34</v>
      </c>
      <c r="K7" s="40">
        <v>3.4</v>
      </c>
      <c r="L7" s="40">
        <f t="shared" si="3"/>
        <v>27.2</v>
      </c>
      <c r="M7" s="57">
        <f t="shared" si="0"/>
        <v>22.468168268571826</v>
      </c>
      <c r="N7" s="58" t="s">
        <v>123</v>
      </c>
      <c r="O7" s="40">
        <v>4.5</v>
      </c>
      <c r="P7" s="40">
        <f t="shared" si="1"/>
        <v>25</v>
      </c>
      <c r="Q7" s="64">
        <f t="shared" si="2"/>
        <v>26.596559378912286</v>
      </c>
      <c r="R7" s="65" t="s">
        <v>123</v>
      </c>
      <c r="S7" s="41"/>
      <c r="T7" s="42" t="s">
        <v>140</v>
      </c>
      <c r="U7" s="42"/>
      <c r="V7" s="73">
        <f>SQRT(V5*1000000/(1.5*900*PI()))</f>
        <v>17.841241161527709</v>
      </c>
      <c r="W7" s="42" t="s">
        <v>122</v>
      </c>
      <c r="X7" s="30" t="s">
        <v>142</v>
      </c>
    </row>
    <row r="8" spans="2:27" ht="17.25" customHeight="1">
      <c r="B8" s="188" t="s">
        <v>112</v>
      </c>
      <c r="C8" s="189"/>
      <c r="D8" s="188" t="s">
        <v>124</v>
      </c>
      <c r="E8" s="190"/>
      <c r="F8" s="189"/>
      <c r="G8" s="188" t="s">
        <v>143</v>
      </c>
      <c r="H8" s="189"/>
      <c r="I8" s="40">
        <v>32</v>
      </c>
      <c r="J8" s="40">
        <v>42.7</v>
      </c>
      <c r="K8" s="40">
        <v>3.6</v>
      </c>
      <c r="L8" s="40">
        <f t="shared" si="3"/>
        <v>35.5</v>
      </c>
      <c r="M8" s="57">
        <f t="shared" si="0"/>
        <v>13.190120699718456</v>
      </c>
      <c r="N8" s="58" t="s">
        <v>123</v>
      </c>
      <c r="O8" s="40">
        <v>4.9000000000000004</v>
      </c>
      <c r="P8" s="40">
        <f t="shared" si="1"/>
        <v>32.900000000000006</v>
      </c>
      <c r="Q8" s="64">
        <f t="shared" si="2"/>
        <v>15.357257981559828</v>
      </c>
      <c r="R8" s="65" t="s">
        <v>123</v>
      </c>
      <c r="S8" s="41"/>
      <c r="T8" s="182" t="s">
        <v>144</v>
      </c>
      <c r="U8" s="184" t="s">
        <v>155</v>
      </c>
      <c r="V8" s="182" t="s">
        <v>145</v>
      </c>
      <c r="W8" s="184" t="s">
        <v>155</v>
      </c>
      <c r="X8" s="182" t="s">
        <v>145</v>
      </c>
      <c r="Y8" s="184" t="s">
        <v>155</v>
      </c>
      <c r="Z8" s="182" t="s">
        <v>145</v>
      </c>
      <c r="AA8" s="184" t="s">
        <v>155</v>
      </c>
    </row>
    <row r="9" spans="2:27" ht="17.25" customHeight="1">
      <c r="B9" s="66">
        <v>700</v>
      </c>
      <c r="C9" s="67" t="s">
        <v>113</v>
      </c>
      <c r="D9" s="66">
        <f>B9*0.043</f>
        <v>30.099999999999998</v>
      </c>
      <c r="E9" s="68"/>
      <c r="F9" s="67" t="s">
        <v>113</v>
      </c>
      <c r="G9" s="69">
        <f>SQRT(D9*1000000/(3*900*PI()))</f>
        <v>59.569839417251018</v>
      </c>
      <c r="H9" s="67" t="s">
        <v>122</v>
      </c>
      <c r="I9" s="40">
        <v>40</v>
      </c>
      <c r="J9" s="40">
        <v>48.6</v>
      </c>
      <c r="K9" s="40">
        <v>3.7</v>
      </c>
      <c r="L9" s="40">
        <f t="shared" si="3"/>
        <v>41.2</v>
      </c>
      <c r="M9" s="57">
        <f t="shared" si="0"/>
        <v>9.7928937764045738</v>
      </c>
      <c r="N9" s="58" t="s">
        <v>123</v>
      </c>
      <c r="O9" s="40">
        <v>5.0999999999999996</v>
      </c>
      <c r="P9" s="40">
        <f t="shared" si="1"/>
        <v>38.400000000000006</v>
      </c>
      <c r="Q9" s="64">
        <f t="shared" si="2"/>
        <v>11.273091370863293</v>
      </c>
      <c r="R9" s="65" t="s">
        <v>123</v>
      </c>
      <c r="S9" s="41"/>
      <c r="T9" s="183"/>
      <c r="U9" s="185"/>
      <c r="V9" s="183"/>
      <c r="W9" s="185"/>
      <c r="X9" s="183"/>
      <c r="Y9" s="185"/>
      <c r="Z9" s="183"/>
      <c r="AA9" s="185"/>
    </row>
    <row r="10" spans="2:27" ht="17.25" customHeight="1">
      <c r="B10" s="49">
        <v>150</v>
      </c>
      <c r="C10" s="43" t="s">
        <v>113</v>
      </c>
      <c r="D10" s="49">
        <f t="shared" ref="D10:D31" si="4">B10*0.043</f>
        <v>6.4499999999999993</v>
      </c>
      <c r="E10" s="50">
        <v>10</v>
      </c>
      <c r="F10" s="43" t="s">
        <v>113</v>
      </c>
      <c r="G10" s="51">
        <f t="shared" ref="G10:G31" si="5">SQRT(D10*1000000/(3*900*PI()))</f>
        <v>27.575477336357103</v>
      </c>
      <c r="H10" s="43" t="s">
        <v>122</v>
      </c>
      <c r="I10" s="40">
        <v>50</v>
      </c>
      <c r="J10" s="40">
        <v>60.5</v>
      </c>
      <c r="K10" s="40">
        <v>3.9</v>
      </c>
      <c r="L10" s="40">
        <f t="shared" si="3"/>
        <v>52.7</v>
      </c>
      <c r="M10" s="57">
        <f t="shared" si="0"/>
        <v>5.9852768748744909</v>
      </c>
      <c r="N10" s="58" t="s">
        <v>123</v>
      </c>
      <c r="O10" s="40">
        <v>5.5</v>
      </c>
      <c r="P10" s="40">
        <f t="shared" si="1"/>
        <v>49.5</v>
      </c>
      <c r="Q10" s="64">
        <f t="shared" si="2"/>
        <v>6.7841443166289892</v>
      </c>
      <c r="R10" s="65" t="s">
        <v>123</v>
      </c>
      <c r="S10" s="41"/>
      <c r="T10" s="74">
        <v>1</v>
      </c>
      <c r="U10" s="75">
        <v>1908.25</v>
      </c>
      <c r="V10" s="74">
        <v>21</v>
      </c>
      <c r="W10" s="75">
        <v>40066.449999999997</v>
      </c>
      <c r="X10" s="74">
        <v>41</v>
      </c>
      <c r="Y10" s="75">
        <v>78224.649999999994</v>
      </c>
      <c r="Z10" s="74">
        <v>61</v>
      </c>
      <c r="AA10" s="75">
        <v>116382.85</v>
      </c>
    </row>
    <row r="11" spans="2:27" ht="17.25" customHeight="1">
      <c r="B11" s="49">
        <v>300</v>
      </c>
      <c r="C11" s="43" t="s">
        <v>113</v>
      </c>
      <c r="D11" s="49">
        <f t="shared" si="4"/>
        <v>12.899999999999999</v>
      </c>
      <c r="E11" s="50">
        <v>15</v>
      </c>
      <c r="F11" s="43" t="s">
        <v>113</v>
      </c>
      <c r="G11" s="51">
        <f t="shared" si="5"/>
        <v>38.997614037988129</v>
      </c>
      <c r="H11" s="43" t="s">
        <v>122</v>
      </c>
      <c r="I11" s="40">
        <v>65</v>
      </c>
      <c r="J11" s="40">
        <v>76.3</v>
      </c>
      <c r="K11" s="40">
        <v>5.2</v>
      </c>
      <c r="L11" s="40">
        <f t="shared" si="3"/>
        <v>65.899999999999991</v>
      </c>
      <c r="M11" s="57">
        <f t="shared" si="0"/>
        <v>3.8276713952072936</v>
      </c>
      <c r="N11" s="58" t="s">
        <v>123</v>
      </c>
      <c r="O11" s="40">
        <v>7</v>
      </c>
      <c r="P11" s="40">
        <f t="shared" si="1"/>
        <v>62.3</v>
      </c>
      <c r="Q11" s="64">
        <f t="shared" si="2"/>
        <v>4.2828156648485889</v>
      </c>
      <c r="R11" s="65" t="s">
        <v>123</v>
      </c>
      <c r="S11" s="41"/>
      <c r="T11" s="74">
        <v>2</v>
      </c>
      <c r="U11" s="75">
        <v>3815.65</v>
      </c>
      <c r="V11" s="74">
        <v>22</v>
      </c>
      <c r="W11" s="75">
        <v>41973.85</v>
      </c>
      <c r="X11" s="74">
        <v>42</v>
      </c>
      <c r="Y11" s="75">
        <v>80132.05</v>
      </c>
      <c r="Z11" s="74">
        <v>62</v>
      </c>
      <c r="AA11" s="75">
        <v>118290.25</v>
      </c>
    </row>
    <row r="12" spans="2:27" ht="17.25" customHeight="1">
      <c r="B12" s="49">
        <v>450</v>
      </c>
      <c r="C12" s="43" t="s">
        <v>113</v>
      </c>
      <c r="D12" s="49">
        <f t="shared" si="4"/>
        <v>19.349999999999998</v>
      </c>
      <c r="E12" s="50">
        <v>20</v>
      </c>
      <c r="F12" s="43" t="s">
        <v>113</v>
      </c>
      <c r="G12" s="51">
        <f t="shared" si="5"/>
        <v>47.762127789534588</v>
      </c>
      <c r="H12" s="43" t="s">
        <v>122</v>
      </c>
      <c r="I12" s="40">
        <v>80</v>
      </c>
      <c r="J12" s="40">
        <v>89.1</v>
      </c>
      <c r="K12" s="40">
        <v>5.5</v>
      </c>
      <c r="L12" s="40">
        <f t="shared" si="3"/>
        <v>78.099999999999994</v>
      </c>
      <c r="M12" s="57">
        <f t="shared" si="0"/>
        <v>2.725231549528607</v>
      </c>
      <c r="N12" s="58" t="s">
        <v>123</v>
      </c>
      <c r="O12" s="40">
        <v>7.6</v>
      </c>
      <c r="P12" s="40">
        <f t="shared" si="1"/>
        <v>73.899999999999991</v>
      </c>
      <c r="Q12" s="64">
        <f t="shared" si="2"/>
        <v>3.0438034083692407</v>
      </c>
      <c r="R12" s="65" t="s">
        <v>123</v>
      </c>
      <c r="S12" s="41"/>
      <c r="T12" s="74">
        <v>3</v>
      </c>
      <c r="U12" s="75">
        <v>5723.9</v>
      </c>
      <c r="V12" s="74">
        <v>23</v>
      </c>
      <c r="W12" s="75">
        <v>43882.1</v>
      </c>
      <c r="X12" s="74">
        <v>43</v>
      </c>
      <c r="Y12" s="75">
        <v>82040.3</v>
      </c>
      <c r="Z12" s="74">
        <v>63</v>
      </c>
      <c r="AA12" s="75">
        <v>120198.5</v>
      </c>
    </row>
    <row r="13" spans="2:27" ht="17.25" customHeight="1">
      <c r="B13" s="49">
        <v>600</v>
      </c>
      <c r="C13" s="43" t="s">
        <v>113</v>
      </c>
      <c r="D13" s="49">
        <f t="shared" si="4"/>
        <v>25.799999999999997</v>
      </c>
      <c r="E13" s="50">
        <v>30</v>
      </c>
      <c r="F13" s="43" t="s">
        <v>113</v>
      </c>
      <c r="G13" s="51">
        <f t="shared" si="5"/>
        <v>55.150954672714207</v>
      </c>
      <c r="H13" s="43" t="s">
        <v>122</v>
      </c>
      <c r="I13" s="40">
        <v>100</v>
      </c>
      <c r="J13" s="40">
        <v>114.3</v>
      </c>
      <c r="K13" s="40">
        <v>6</v>
      </c>
      <c r="L13" s="40">
        <f t="shared" si="3"/>
        <v>102.3</v>
      </c>
      <c r="M13" s="57">
        <f t="shared" si="0"/>
        <v>1.5883792624781712</v>
      </c>
      <c r="N13" s="58" t="s">
        <v>123</v>
      </c>
      <c r="O13" s="40">
        <v>8.6</v>
      </c>
      <c r="P13" s="40">
        <f t="shared" si="1"/>
        <v>97.1</v>
      </c>
      <c r="Q13" s="64">
        <f t="shared" si="2"/>
        <v>1.7630596900028936</v>
      </c>
      <c r="R13" s="65" t="s">
        <v>123</v>
      </c>
      <c r="S13" s="41"/>
      <c r="T13" s="74">
        <v>4</v>
      </c>
      <c r="U13" s="75">
        <v>7631.3</v>
      </c>
      <c r="V13" s="74">
        <v>24</v>
      </c>
      <c r="W13" s="75">
        <v>45789.5</v>
      </c>
      <c r="X13" s="74">
        <v>44</v>
      </c>
      <c r="Y13" s="75">
        <v>83947.7</v>
      </c>
      <c r="Z13" s="74">
        <v>64</v>
      </c>
      <c r="AA13" s="75">
        <v>122105.9</v>
      </c>
    </row>
    <row r="14" spans="2:27" ht="17.25" customHeight="1">
      <c r="B14" s="49">
        <v>750</v>
      </c>
      <c r="C14" s="43" t="s">
        <v>113</v>
      </c>
      <c r="D14" s="49">
        <f t="shared" si="4"/>
        <v>32.25</v>
      </c>
      <c r="E14" s="50">
        <v>35</v>
      </c>
      <c r="F14" s="43" t="s">
        <v>113</v>
      </c>
      <c r="G14" s="51">
        <f t="shared" si="5"/>
        <v>61.660641836099323</v>
      </c>
      <c r="H14" s="43" t="s">
        <v>122</v>
      </c>
      <c r="I14" s="40">
        <v>125</v>
      </c>
      <c r="J14" s="40">
        <v>139.80000000000001</v>
      </c>
      <c r="K14" s="40">
        <v>6.6</v>
      </c>
      <c r="L14" s="40">
        <f t="shared" si="3"/>
        <v>126.60000000000001</v>
      </c>
      <c r="M14" s="57">
        <f t="shared" si="0"/>
        <v>1.0371416242909199</v>
      </c>
      <c r="N14" s="58" t="s">
        <v>123</v>
      </c>
      <c r="O14" s="40">
        <v>9.5</v>
      </c>
      <c r="P14" s="40">
        <f t="shared" si="1"/>
        <v>120.80000000000001</v>
      </c>
      <c r="Q14" s="64">
        <f t="shared" si="2"/>
        <v>1.1391255874070887</v>
      </c>
      <c r="R14" s="65" t="s">
        <v>123</v>
      </c>
      <c r="S14" s="41"/>
      <c r="T14" s="74">
        <v>5</v>
      </c>
      <c r="U14" s="75">
        <v>9539.5499999999993</v>
      </c>
      <c r="V14" s="74">
        <v>25</v>
      </c>
      <c r="W14" s="75">
        <v>47697.75</v>
      </c>
      <c r="X14" s="74">
        <v>45</v>
      </c>
      <c r="Y14" s="75">
        <v>85855.95</v>
      </c>
      <c r="Z14" s="74">
        <v>65</v>
      </c>
      <c r="AA14" s="75">
        <v>124014.15</v>
      </c>
    </row>
    <row r="15" spans="2:27" ht="17.25" customHeight="1">
      <c r="B15" s="49">
        <v>900</v>
      </c>
      <c r="C15" s="43" t="s">
        <v>113</v>
      </c>
      <c r="D15" s="49">
        <f t="shared" si="4"/>
        <v>38.699999999999996</v>
      </c>
      <c r="E15" s="50">
        <v>40</v>
      </c>
      <c r="F15" s="43" t="s">
        <v>113</v>
      </c>
      <c r="G15" s="51">
        <f t="shared" si="5"/>
        <v>67.545848887756719</v>
      </c>
      <c r="H15" s="43" t="s">
        <v>122</v>
      </c>
      <c r="I15" s="40">
        <v>150</v>
      </c>
      <c r="J15" s="40">
        <v>165.2</v>
      </c>
      <c r="K15" s="40">
        <v>7.1</v>
      </c>
      <c r="L15" s="40">
        <f t="shared" si="3"/>
        <v>151</v>
      </c>
      <c r="M15" s="57">
        <f t="shared" si="0"/>
        <v>0.72904037594053694</v>
      </c>
      <c r="N15" s="58" t="s">
        <v>123</v>
      </c>
      <c r="O15" s="40">
        <v>11</v>
      </c>
      <c r="P15" s="40">
        <f t="shared" si="1"/>
        <v>143.19999999999999</v>
      </c>
      <c r="Q15" s="64">
        <f t="shared" si="2"/>
        <v>0.81062396674476556</v>
      </c>
      <c r="R15" s="65" t="s">
        <v>123</v>
      </c>
      <c r="S15" s="41"/>
      <c r="T15" s="74">
        <v>6</v>
      </c>
      <c r="U15" s="75">
        <v>11447.8</v>
      </c>
      <c r="V15" s="74">
        <v>26</v>
      </c>
      <c r="W15" s="75">
        <v>49606</v>
      </c>
      <c r="X15" s="74">
        <v>46</v>
      </c>
      <c r="Y15" s="75">
        <v>87764.2</v>
      </c>
      <c r="Z15" s="74">
        <v>66</v>
      </c>
      <c r="AA15" s="75">
        <v>125922.4</v>
      </c>
    </row>
    <row r="16" spans="2:27" ht="17.25" customHeight="1">
      <c r="B16" s="49">
        <v>1000</v>
      </c>
      <c r="C16" s="43" t="s">
        <v>113</v>
      </c>
      <c r="D16" s="49">
        <f t="shared" si="4"/>
        <v>43</v>
      </c>
      <c r="E16" s="50">
        <v>45</v>
      </c>
      <c r="F16" s="43" t="s">
        <v>113</v>
      </c>
      <c r="G16" s="51">
        <f t="shared" si="5"/>
        <v>71.19957632495408</v>
      </c>
      <c r="H16" s="43" t="s">
        <v>122</v>
      </c>
      <c r="I16" s="40">
        <v>200</v>
      </c>
      <c r="J16" s="40">
        <v>216.3</v>
      </c>
      <c r="K16" s="40">
        <v>8.1999999999999993</v>
      </c>
      <c r="L16" s="40">
        <f t="shared" si="3"/>
        <v>199.9</v>
      </c>
      <c r="M16" s="57">
        <f>$C$3/((L16/(1000*2))*(L16/(1000*2))*PI()*3600)</f>
        <v>0.41598712342214589</v>
      </c>
      <c r="N16" s="58" t="s">
        <v>123</v>
      </c>
      <c r="O16" s="40">
        <v>12.7</v>
      </c>
      <c r="P16" s="40">
        <f t="shared" si="1"/>
        <v>190.9</v>
      </c>
      <c r="Q16" s="64">
        <f t="shared" si="2"/>
        <v>0.45613523248674226</v>
      </c>
      <c r="R16" s="65" t="s">
        <v>123</v>
      </c>
      <c r="S16" s="41"/>
      <c r="T16" s="74">
        <v>7</v>
      </c>
      <c r="U16" s="75">
        <v>13355.2</v>
      </c>
      <c r="V16" s="74">
        <v>27</v>
      </c>
      <c r="W16" s="75">
        <v>51513.4</v>
      </c>
      <c r="X16" s="74">
        <v>47</v>
      </c>
      <c r="Y16" s="75">
        <v>89671.6</v>
      </c>
      <c r="Z16" s="74">
        <v>67</v>
      </c>
      <c r="AA16" s="75">
        <v>127829.8</v>
      </c>
    </row>
    <row r="17" spans="2:27" ht="17.25" customHeight="1">
      <c r="B17" s="49">
        <v>1050</v>
      </c>
      <c r="C17" s="43" t="s">
        <v>113</v>
      </c>
      <c r="D17" s="49">
        <f t="shared" si="4"/>
        <v>45.15</v>
      </c>
      <c r="E17" s="50">
        <v>50</v>
      </c>
      <c r="F17" s="43" t="s">
        <v>113</v>
      </c>
      <c r="G17" s="51">
        <f t="shared" si="5"/>
        <v>72.957855315898712</v>
      </c>
      <c r="H17" s="43" t="s">
        <v>122</v>
      </c>
      <c r="I17" s="40">
        <v>250</v>
      </c>
      <c r="J17" s="40">
        <v>267.39999999999998</v>
      </c>
      <c r="K17" s="40">
        <v>9.3000000000000007</v>
      </c>
      <c r="L17" s="40">
        <f t="shared" si="3"/>
        <v>248.79999999999998</v>
      </c>
      <c r="M17" s="57">
        <f t="shared" si="0"/>
        <v>0.26853736539602602</v>
      </c>
      <c r="N17" s="58" t="s">
        <v>123</v>
      </c>
      <c r="O17" s="40">
        <v>12.7</v>
      </c>
      <c r="P17" s="40">
        <f t="shared" si="1"/>
        <v>241.99999999999997</v>
      </c>
      <c r="Q17" s="64">
        <f t="shared" si="2"/>
        <v>0.28384074878458071</v>
      </c>
      <c r="R17" s="65" t="s">
        <v>123</v>
      </c>
      <c r="S17" s="41"/>
      <c r="T17" s="74">
        <v>8</v>
      </c>
      <c r="U17" s="75">
        <v>15263.45</v>
      </c>
      <c r="V17" s="74">
        <v>28</v>
      </c>
      <c r="W17" s="75">
        <v>53421.65</v>
      </c>
      <c r="X17" s="74">
        <v>48</v>
      </c>
      <c r="Y17" s="75">
        <v>91579.85</v>
      </c>
      <c r="Z17" s="74">
        <v>68</v>
      </c>
      <c r="AA17" s="75">
        <v>129738.05</v>
      </c>
    </row>
    <row r="18" spans="2:27" ht="17.25" customHeight="1">
      <c r="B18" s="49">
        <v>1200</v>
      </c>
      <c r="C18" s="43" t="s">
        <v>113</v>
      </c>
      <c r="D18" s="49">
        <f t="shared" si="4"/>
        <v>51.599999999999994</v>
      </c>
      <c r="E18" s="50">
        <v>55</v>
      </c>
      <c r="F18" s="43" t="s">
        <v>113</v>
      </c>
      <c r="G18" s="51">
        <f t="shared" si="5"/>
        <v>77.995228075976257</v>
      </c>
      <c r="H18" s="43" t="s">
        <v>122</v>
      </c>
      <c r="I18" s="98">
        <v>300</v>
      </c>
      <c r="J18" s="40">
        <v>318.5</v>
      </c>
      <c r="K18" s="40">
        <v>9.5</v>
      </c>
      <c r="L18" s="40">
        <f t="shared" si="3"/>
        <v>299.5</v>
      </c>
      <c r="M18" s="57">
        <f t="shared" si="0"/>
        <v>0.18531553269717957</v>
      </c>
      <c r="N18" s="58" t="s">
        <v>123</v>
      </c>
      <c r="O18" s="40">
        <v>12.7</v>
      </c>
      <c r="P18" s="40">
        <f t="shared" si="1"/>
        <v>293.10000000000002</v>
      </c>
      <c r="Q18" s="64">
        <f t="shared" si="2"/>
        <v>0.19349682306166097</v>
      </c>
      <c r="R18" s="65" t="s">
        <v>123</v>
      </c>
      <c r="S18" s="41"/>
      <c r="T18" s="74">
        <v>9</v>
      </c>
      <c r="U18" s="75">
        <v>17170.849999999999</v>
      </c>
      <c r="V18" s="74">
        <v>29</v>
      </c>
      <c r="W18" s="75">
        <v>55329.05</v>
      </c>
      <c r="X18" s="74">
        <v>49</v>
      </c>
      <c r="Y18" s="75">
        <v>93487.25</v>
      </c>
      <c r="Z18" s="74">
        <v>69</v>
      </c>
      <c r="AA18" s="75">
        <v>131645.45000000001</v>
      </c>
    </row>
    <row r="19" spans="2:27" ht="17.25" customHeight="1">
      <c r="B19" s="49">
        <v>1300</v>
      </c>
      <c r="C19" s="43" t="s">
        <v>113</v>
      </c>
      <c r="D19" s="49">
        <f t="shared" si="4"/>
        <v>55.9</v>
      </c>
      <c r="E19" s="50">
        <v>60</v>
      </c>
      <c r="F19" s="43" t="s">
        <v>113</v>
      </c>
      <c r="G19" s="51">
        <f t="shared" si="5"/>
        <v>81.180007203183052</v>
      </c>
      <c r="H19" s="43" t="s">
        <v>122</v>
      </c>
      <c r="I19" s="40">
        <v>350</v>
      </c>
      <c r="J19" s="40">
        <v>355.6</v>
      </c>
      <c r="K19" s="40">
        <v>9.5</v>
      </c>
      <c r="L19" s="40">
        <f t="shared" si="3"/>
        <v>336.6</v>
      </c>
      <c r="M19" s="57">
        <f t="shared" si="0"/>
        <v>0.14671592380253004</v>
      </c>
      <c r="N19" s="58" t="s">
        <v>123</v>
      </c>
      <c r="O19" s="40">
        <v>12.7</v>
      </c>
      <c r="P19" s="40">
        <f t="shared" si="1"/>
        <v>330.20000000000005</v>
      </c>
      <c r="Q19" s="64">
        <f t="shared" si="2"/>
        <v>0.15245839307253328</v>
      </c>
      <c r="R19" s="65" t="s">
        <v>123</v>
      </c>
      <c r="S19" s="41"/>
      <c r="T19" s="74">
        <v>10</v>
      </c>
      <c r="U19" s="75">
        <v>19079.099999999999</v>
      </c>
      <c r="V19" s="74">
        <v>30</v>
      </c>
      <c r="W19" s="75">
        <v>57237.3</v>
      </c>
      <c r="X19" s="74">
        <v>50</v>
      </c>
      <c r="Y19" s="75">
        <v>95395.5</v>
      </c>
      <c r="Z19" s="74">
        <v>70</v>
      </c>
      <c r="AA19" s="75">
        <v>133553.70000000001</v>
      </c>
    </row>
    <row r="20" spans="2:27" ht="17.25" customHeight="1">
      <c r="B20" s="49">
        <v>1350</v>
      </c>
      <c r="C20" s="43" t="s">
        <v>113</v>
      </c>
      <c r="D20" s="49">
        <f t="shared" si="4"/>
        <v>58.05</v>
      </c>
      <c r="E20" s="50">
        <v>60</v>
      </c>
      <c r="F20" s="43" t="s">
        <v>113</v>
      </c>
      <c r="G20" s="51">
        <f t="shared" si="5"/>
        <v>82.726432009071317</v>
      </c>
      <c r="H20" s="43" t="s">
        <v>122</v>
      </c>
      <c r="I20" s="40">
        <v>400</v>
      </c>
      <c r="J20" s="40">
        <v>406.4</v>
      </c>
      <c r="K20" s="40">
        <v>9.5</v>
      </c>
      <c r="L20" s="40">
        <f t="shared" si="3"/>
        <v>387.4</v>
      </c>
      <c r="M20" s="57">
        <f t="shared" si="0"/>
        <v>0.11076084058677045</v>
      </c>
      <c r="N20" s="58" t="s">
        <v>123</v>
      </c>
      <c r="O20" s="40">
        <v>12.7</v>
      </c>
      <c r="P20" s="40">
        <f t="shared" si="1"/>
        <v>381</v>
      </c>
      <c r="Q20" s="64">
        <f t="shared" si="2"/>
        <v>0.11451319301892504</v>
      </c>
      <c r="R20" s="65" t="s">
        <v>123</v>
      </c>
      <c r="S20" s="41"/>
      <c r="T20" s="74">
        <v>11</v>
      </c>
      <c r="U20" s="75">
        <v>20987.35</v>
      </c>
      <c r="V20" s="74">
        <v>31</v>
      </c>
      <c r="W20" s="75">
        <v>59145.55</v>
      </c>
      <c r="X20" s="74">
        <v>51</v>
      </c>
      <c r="Y20" s="75">
        <v>97303.75</v>
      </c>
      <c r="Z20" s="74">
        <v>71</v>
      </c>
      <c r="AA20" s="75">
        <v>135461.95000000001</v>
      </c>
    </row>
    <row r="21" spans="2:27" ht="17.25" customHeight="1">
      <c r="B21" s="49">
        <v>1450</v>
      </c>
      <c r="C21" s="43" t="s">
        <v>113</v>
      </c>
      <c r="D21" s="49">
        <f t="shared" si="4"/>
        <v>62.349999999999994</v>
      </c>
      <c r="E21" s="50">
        <v>65</v>
      </c>
      <c r="F21" s="43" t="s">
        <v>113</v>
      </c>
      <c r="G21" s="51">
        <f t="shared" si="5"/>
        <v>85.735643228687536</v>
      </c>
      <c r="H21" s="43" t="s">
        <v>122</v>
      </c>
      <c r="I21" s="40">
        <v>450</v>
      </c>
      <c r="J21" s="40">
        <v>457.2</v>
      </c>
      <c r="K21" s="40">
        <v>9.5</v>
      </c>
      <c r="L21" s="40">
        <f t="shared" si="3"/>
        <v>438.2</v>
      </c>
      <c r="M21" s="57">
        <f t="shared" si="0"/>
        <v>8.6568666826408555E-2</v>
      </c>
      <c r="N21" s="58" t="s">
        <v>123</v>
      </c>
      <c r="O21" s="40">
        <v>12.7</v>
      </c>
      <c r="P21" s="40">
        <f t="shared" si="1"/>
        <v>431.8</v>
      </c>
      <c r="Q21" s="64">
        <f t="shared" si="2"/>
        <v>8.9153869997433008E-2</v>
      </c>
      <c r="R21" s="65" t="s">
        <v>123</v>
      </c>
      <c r="S21" s="41"/>
      <c r="T21" s="74">
        <v>12</v>
      </c>
      <c r="U21" s="75">
        <v>22894.75</v>
      </c>
      <c r="V21" s="74">
        <v>32</v>
      </c>
      <c r="W21" s="75">
        <v>61052.95</v>
      </c>
      <c r="X21" s="74">
        <v>52</v>
      </c>
      <c r="Y21" s="75">
        <v>99211.15</v>
      </c>
      <c r="Z21" s="74">
        <v>72</v>
      </c>
      <c r="AA21" s="75">
        <v>137369.35</v>
      </c>
    </row>
    <row r="22" spans="2:27" ht="17.25" customHeight="1">
      <c r="B22" s="49">
        <v>1600</v>
      </c>
      <c r="C22" s="43" t="s">
        <v>113</v>
      </c>
      <c r="D22" s="49">
        <f t="shared" si="4"/>
        <v>68.8</v>
      </c>
      <c r="E22" s="50">
        <v>70</v>
      </c>
      <c r="F22" s="43" t="s">
        <v>113</v>
      </c>
      <c r="G22" s="51">
        <f t="shared" si="5"/>
        <v>90.061131850342292</v>
      </c>
      <c r="H22" s="43" t="s">
        <v>122</v>
      </c>
      <c r="I22" s="40">
        <v>500</v>
      </c>
      <c r="J22" s="40">
        <v>508</v>
      </c>
      <c r="K22" s="40">
        <v>9.5</v>
      </c>
      <c r="L22" s="40">
        <f t="shared" si="3"/>
        <v>489</v>
      </c>
      <c r="M22" s="57">
        <f t="shared" si="0"/>
        <v>6.951647748135957E-2</v>
      </c>
      <c r="N22" s="58" t="s">
        <v>123</v>
      </c>
      <c r="O22" s="40">
        <v>12.7</v>
      </c>
      <c r="P22" s="40">
        <f t="shared" si="1"/>
        <v>482.6</v>
      </c>
      <c r="Q22" s="64">
        <f t="shared" si="2"/>
        <v>7.1372488723706745E-2</v>
      </c>
      <c r="R22" s="65" t="s">
        <v>123</v>
      </c>
      <c r="T22" s="74">
        <v>13</v>
      </c>
      <c r="U22" s="75">
        <v>24803</v>
      </c>
      <c r="V22" s="74">
        <v>33</v>
      </c>
      <c r="W22" s="75">
        <v>62961.2</v>
      </c>
      <c r="X22" s="74">
        <v>53</v>
      </c>
      <c r="Y22" s="75">
        <v>101119.4</v>
      </c>
      <c r="Z22" s="74">
        <v>73</v>
      </c>
      <c r="AA22" s="75">
        <v>139277.6</v>
      </c>
    </row>
    <row r="23" spans="2:27" ht="17.25" customHeight="1">
      <c r="B23" s="49">
        <v>1800</v>
      </c>
      <c r="C23" s="43" t="s">
        <v>113</v>
      </c>
      <c r="D23" s="49">
        <f t="shared" si="4"/>
        <v>77.399999999999991</v>
      </c>
      <c r="E23" s="50">
        <v>80</v>
      </c>
      <c r="F23" s="43" t="s">
        <v>113</v>
      </c>
      <c r="G23" s="51">
        <f t="shared" si="5"/>
        <v>95.524255579069177</v>
      </c>
      <c r="H23" s="43" t="s">
        <v>122</v>
      </c>
      <c r="I23" s="40">
        <v>550</v>
      </c>
      <c r="J23" s="40">
        <v>558.79999999999995</v>
      </c>
      <c r="K23" s="40">
        <v>9.5</v>
      </c>
      <c r="L23" s="40">
        <f t="shared" si="3"/>
        <v>539.79999999999995</v>
      </c>
      <c r="M23" s="57">
        <f t="shared" si="0"/>
        <v>5.7047906988386125E-2</v>
      </c>
      <c r="N23" s="58" t="s">
        <v>123</v>
      </c>
      <c r="O23" s="40">
        <v>12.7</v>
      </c>
      <c r="P23" s="40">
        <f t="shared" si="1"/>
        <v>533.4</v>
      </c>
      <c r="Q23" s="64">
        <f t="shared" si="2"/>
        <v>5.8425098479043397E-2</v>
      </c>
      <c r="R23" s="65" t="s">
        <v>123</v>
      </c>
      <c r="T23" s="74">
        <v>14</v>
      </c>
      <c r="U23" s="75">
        <v>26710.400000000001</v>
      </c>
      <c r="V23" s="74">
        <v>34</v>
      </c>
      <c r="W23" s="75">
        <v>64868.6</v>
      </c>
      <c r="X23" s="74">
        <v>54</v>
      </c>
      <c r="Y23" s="75">
        <v>103026.8</v>
      </c>
      <c r="Z23" s="74">
        <v>74</v>
      </c>
      <c r="AA23" s="75">
        <v>141185</v>
      </c>
    </row>
    <row r="24" spans="2:27" ht="17.25" customHeight="1">
      <c r="B24" s="49">
        <v>2000</v>
      </c>
      <c r="C24" s="43" t="s">
        <v>113</v>
      </c>
      <c r="D24" s="49">
        <f t="shared" si="4"/>
        <v>86</v>
      </c>
      <c r="E24" s="50">
        <v>90</v>
      </c>
      <c r="F24" s="43" t="s">
        <v>113</v>
      </c>
      <c r="G24" s="51">
        <f t="shared" si="5"/>
        <v>100.69140647396839</v>
      </c>
      <c r="H24" s="43" t="s">
        <v>122</v>
      </c>
      <c r="I24" s="40">
        <v>600</v>
      </c>
      <c r="J24" s="40">
        <v>609.6</v>
      </c>
      <c r="K24" s="40">
        <v>9.5</v>
      </c>
      <c r="L24" s="40">
        <f t="shared" si="3"/>
        <v>590.6</v>
      </c>
      <c r="M24" s="57">
        <f t="shared" si="0"/>
        <v>4.7656110111065512E-2</v>
      </c>
      <c r="N24" s="58" t="s">
        <v>123</v>
      </c>
      <c r="O24" s="40">
        <v>12.7</v>
      </c>
      <c r="P24" s="40">
        <f t="shared" si="1"/>
        <v>584.20000000000005</v>
      </c>
      <c r="Q24" s="64">
        <f t="shared" si="2"/>
        <v>4.8705989469297037E-2</v>
      </c>
      <c r="R24" s="65" t="s">
        <v>123</v>
      </c>
      <c r="T24" s="74">
        <v>15</v>
      </c>
      <c r="U24" s="75">
        <v>28618.65</v>
      </c>
      <c r="V24" s="74">
        <v>35</v>
      </c>
      <c r="W24" s="75">
        <v>66776.850000000006</v>
      </c>
      <c r="X24" s="74">
        <v>55</v>
      </c>
      <c r="Y24" s="75">
        <v>104935.05</v>
      </c>
      <c r="Z24" s="74">
        <v>75</v>
      </c>
      <c r="AA24" s="75">
        <v>143093.25</v>
      </c>
    </row>
    <row r="25" spans="2:27" ht="17.25" customHeight="1">
      <c r="B25" s="49">
        <v>2300</v>
      </c>
      <c r="C25" s="43" t="s">
        <v>113</v>
      </c>
      <c r="D25" s="49">
        <f t="shared" si="4"/>
        <v>98.899999999999991</v>
      </c>
      <c r="E25" s="50">
        <v>100</v>
      </c>
      <c r="F25" s="43" t="s">
        <v>113</v>
      </c>
      <c r="G25" s="51">
        <f t="shared" si="5"/>
        <v>107.97950378827369</v>
      </c>
      <c r="H25" s="43" t="s">
        <v>122</v>
      </c>
      <c r="I25" s="40">
        <v>650</v>
      </c>
      <c r="J25" s="40">
        <v>660.4</v>
      </c>
      <c r="K25" s="40">
        <v>9.5</v>
      </c>
      <c r="L25" s="40">
        <f t="shared" si="3"/>
        <v>641.4</v>
      </c>
      <c r="M25" s="57">
        <f t="shared" si="0"/>
        <v>4.040615864126975E-2</v>
      </c>
      <c r="N25" s="58" t="s">
        <v>123</v>
      </c>
      <c r="O25" s="40">
        <v>12.7</v>
      </c>
      <c r="P25" s="40">
        <f t="shared" si="1"/>
        <v>635</v>
      </c>
      <c r="Q25" s="64">
        <f t="shared" si="2"/>
        <v>4.1224749486813018E-2</v>
      </c>
      <c r="R25" s="65" t="s">
        <v>123</v>
      </c>
      <c r="T25" s="74">
        <v>16</v>
      </c>
      <c r="U25" s="75">
        <v>30526.9</v>
      </c>
      <c r="V25" s="74">
        <v>36</v>
      </c>
      <c r="W25" s="75">
        <v>68685.100000000006</v>
      </c>
      <c r="X25" s="74">
        <v>56</v>
      </c>
      <c r="Y25" s="75">
        <v>106843.3</v>
      </c>
      <c r="Z25" s="74">
        <v>76</v>
      </c>
      <c r="AA25" s="75">
        <v>145001.5</v>
      </c>
    </row>
    <row r="26" spans="2:27" ht="17.25" customHeight="1">
      <c r="B26" s="49">
        <v>2400</v>
      </c>
      <c r="C26" s="43" t="s">
        <v>113</v>
      </c>
      <c r="D26" s="49">
        <f t="shared" si="4"/>
        <v>103.19999999999999</v>
      </c>
      <c r="E26" s="50">
        <v>105</v>
      </c>
      <c r="F26" s="43" t="s">
        <v>113</v>
      </c>
      <c r="G26" s="51">
        <f t="shared" si="5"/>
        <v>110.30190934542841</v>
      </c>
      <c r="H26" s="43" t="s">
        <v>122</v>
      </c>
      <c r="I26" s="40">
        <v>700</v>
      </c>
      <c r="J26" s="40">
        <v>711.2</v>
      </c>
      <c r="K26" s="40">
        <v>9.5</v>
      </c>
      <c r="L26" s="40">
        <f t="shared" si="3"/>
        <v>692.2</v>
      </c>
      <c r="M26" s="57">
        <f t="shared" si="0"/>
        <v>3.469303433165951E-2</v>
      </c>
      <c r="N26" s="58" t="s">
        <v>123</v>
      </c>
      <c r="O26" s="40">
        <v>12.7</v>
      </c>
      <c r="P26" s="40">
        <f t="shared" si="1"/>
        <v>685.80000000000007</v>
      </c>
      <c r="Q26" s="64" t="s">
        <v>125</v>
      </c>
      <c r="R26" s="65" t="s">
        <v>123</v>
      </c>
      <c r="T26" s="74">
        <v>17</v>
      </c>
      <c r="U26" s="75">
        <v>32434.3</v>
      </c>
      <c r="V26" s="74">
        <v>37</v>
      </c>
      <c r="W26" s="75">
        <v>70592.5</v>
      </c>
      <c r="X26" s="74">
        <v>57</v>
      </c>
      <c r="Y26" s="75">
        <v>108750.7</v>
      </c>
      <c r="Z26" s="74">
        <v>77</v>
      </c>
      <c r="AA26" s="75">
        <v>146908.9</v>
      </c>
    </row>
    <row r="27" spans="2:27" ht="17.25" customHeight="1">
      <c r="B27" s="49">
        <v>2450</v>
      </c>
      <c r="C27" s="43" t="s">
        <v>113</v>
      </c>
      <c r="D27" s="49">
        <f t="shared" si="4"/>
        <v>105.35</v>
      </c>
      <c r="E27" s="50">
        <v>110</v>
      </c>
      <c r="F27" s="43" t="s">
        <v>113</v>
      </c>
      <c r="G27" s="51">
        <f t="shared" si="5"/>
        <v>111.44496484224739</v>
      </c>
      <c r="H27" s="43" t="s">
        <v>122</v>
      </c>
      <c r="I27" s="40">
        <v>750</v>
      </c>
      <c r="J27" s="40">
        <v>762</v>
      </c>
      <c r="K27" s="40">
        <v>9.5</v>
      </c>
      <c r="L27" s="40">
        <f t="shared" si="3"/>
        <v>743</v>
      </c>
      <c r="M27" s="57">
        <f t="shared" si="0"/>
        <v>3.0111185079259594E-2</v>
      </c>
      <c r="N27" s="58" t="s">
        <v>123</v>
      </c>
      <c r="O27" s="40">
        <v>12.7</v>
      </c>
      <c r="P27" s="40">
        <f t="shared" si="1"/>
        <v>736.6</v>
      </c>
      <c r="Q27" s="64">
        <f t="shared" si="2"/>
        <v>3.0636704434314072E-2</v>
      </c>
      <c r="R27" s="65" t="s">
        <v>123</v>
      </c>
      <c r="T27" s="74">
        <v>18</v>
      </c>
      <c r="U27" s="75">
        <v>34342.550000000003</v>
      </c>
      <c r="V27" s="74">
        <v>38</v>
      </c>
      <c r="W27" s="75">
        <v>72500.75</v>
      </c>
      <c r="X27" s="74">
        <v>58</v>
      </c>
      <c r="Y27" s="75">
        <v>110658.95</v>
      </c>
      <c r="Z27" s="74">
        <v>78</v>
      </c>
      <c r="AA27" s="75">
        <v>148817.15</v>
      </c>
    </row>
    <row r="28" spans="2:27" ht="17.25" customHeight="1">
      <c r="B28" s="49">
        <v>2600</v>
      </c>
      <c r="C28" s="43" t="s">
        <v>113</v>
      </c>
      <c r="D28" s="49">
        <f t="shared" si="4"/>
        <v>111.8</v>
      </c>
      <c r="E28" s="50">
        <v>115</v>
      </c>
      <c r="F28" s="43" t="s">
        <v>113</v>
      </c>
      <c r="G28" s="51">
        <f t="shared" si="5"/>
        <v>114.80586718028701</v>
      </c>
      <c r="H28" s="43" t="s">
        <v>122</v>
      </c>
      <c r="I28" s="40">
        <v>800</v>
      </c>
      <c r="J28" s="44">
        <v>812.8</v>
      </c>
      <c r="K28" s="45">
        <v>9.5</v>
      </c>
      <c r="L28" s="40">
        <f t="shared" si="3"/>
        <v>793.8</v>
      </c>
      <c r="M28" s="57">
        <f t="shared" si="0"/>
        <v>2.6380516037302737E-2</v>
      </c>
      <c r="N28" s="58" t="s">
        <v>123</v>
      </c>
      <c r="O28" s="46">
        <v>12.7</v>
      </c>
      <c r="P28" s="40">
        <f t="shared" si="1"/>
        <v>787.4</v>
      </c>
      <c r="Q28" s="64">
        <f t="shared" si="2"/>
        <v>2.6811101383203056E-2</v>
      </c>
      <c r="R28" s="65" t="s">
        <v>123</v>
      </c>
      <c r="T28" s="74">
        <v>19</v>
      </c>
      <c r="U28" s="75">
        <v>36249.949999999997</v>
      </c>
      <c r="V28" s="74">
        <v>39</v>
      </c>
      <c r="W28" s="75">
        <v>74408.149999999994</v>
      </c>
      <c r="X28" s="74">
        <v>59</v>
      </c>
      <c r="Y28" s="75">
        <v>112566.35</v>
      </c>
      <c r="Z28" s="74">
        <v>79</v>
      </c>
      <c r="AA28" s="75">
        <v>150724.54999999999</v>
      </c>
    </row>
    <row r="29" spans="2:27" ht="17.25" customHeight="1">
      <c r="B29" s="49">
        <v>3000</v>
      </c>
      <c r="C29" s="43" t="s">
        <v>113</v>
      </c>
      <c r="D29" s="49">
        <f t="shared" si="4"/>
        <v>129</v>
      </c>
      <c r="E29" s="50">
        <v>130</v>
      </c>
      <c r="F29" s="43" t="s">
        <v>113</v>
      </c>
      <c r="G29" s="51">
        <f t="shared" si="5"/>
        <v>123.32128367219865</v>
      </c>
      <c r="H29" s="43" t="s">
        <v>122</v>
      </c>
      <c r="I29" s="47">
        <v>850</v>
      </c>
      <c r="J29" s="44">
        <v>863.6</v>
      </c>
      <c r="K29" s="45">
        <v>9.5</v>
      </c>
      <c r="L29" s="40">
        <f t="shared" si="3"/>
        <v>844.6</v>
      </c>
      <c r="M29" s="57">
        <f t="shared" si="0"/>
        <v>2.3302543191920461E-2</v>
      </c>
      <c r="N29" s="58" t="s">
        <v>123</v>
      </c>
      <c r="O29" s="46">
        <v>12.7</v>
      </c>
      <c r="P29" s="40">
        <f t="shared" si="1"/>
        <v>838.2</v>
      </c>
      <c r="Q29" s="64">
        <f t="shared" si="2"/>
        <v>2.3659750623744844E-2</v>
      </c>
      <c r="R29" s="65" t="s">
        <v>123</v>
      </c>
      <c r="T29" s="76">
        <v>20</v>
      </c>
      <c r="U29" s="77">
        <v>38158.199999999997</v>
      </c>
      <c r="V29" s="76">
        <v>40</v>
      </c>
      <c r="W29" s="77">
        <v>76316.399999999994</v>
      </c>
      <c r="X29" s="76">
        <v>60</v>
      </c>
      <c r="Y29" s="77">
        <v>114474.6</v>
      </c>
      <c r="Z29" s="76">
        <v>80</v>
      </c>
      <c r="AA29" s="77">
        <v>152632.79999999999</v>
      </c>
    </row>
    <row r="30" spans="2:27" ht="22.5" customHeight="1">
      <c r="B30" s="49">
        <v>3600</v>
      </c>
      <c r="C30" s="43" t="s">
        <v>113</v>
      </c>
      <c r="D30" s="49">
        <f t="shared" si="4"/>
        <v>154.79999999999998</v>
      </c>
      <c r="E30" s="50">
        <v>155</v>
      </c>
      <c r="F30" s="43" t="s">
        <v>113</v>
      </c>
      <c r="G30" s="51">
        <f t="shared" si="5"/>
        <v>135.09169777551344</v>
      </c>
      <c r="H30" s="43" t="s">
        <v>122</v>
      </c>
      <c r="I30" s="47">
        <v>900</v>
      </c>
      <c r="J30" s="44">
        <v>914.4</v>
      </c>
      <c r="K30" s="45">
        <v>9.5</v>
      </c>
      <c r="L30" s="40">
        <f t="shared" si="3"/>
        <v>895.4</v>
      </c>
      <c r="M30" s="57">
        <f t="shared" si="0"/>
        <v>2.0733436726412025E-2</v>
      </c>
      <c r="N30" s="58" t="s">
        <v>123</v>
      </c>
      <c r="O30" s="46">
        <v>12.7</v>
      </c>
      <c r="P30" s="40">
        <f t="shared" si="1"/>
        <v>889</v>
      </c>
      <c r="Q30" s="64">
        <f t="shared" si="2"/>
        <v>2.103303545245562E-2</v>
      </c>
      <c r="R30" s="65" t="s">
        <v>123</v>
      </c>
    </row>
    <row r="31" spans="2:27" ht="22.5" customHeight="1">
      <c r="B31" s="49">
        <v>4000</v>
      </c>
      <c r="C31" s="43" t="s">
        <v>113</v>
      </c>
      <c r="D31" s="49">
        <f t="shared" si="4"/>
        <v>172</v>
      </c>
      <c r="E31" s="50">
        <v>175</v>
      </c>
      <c r="F31" s="43" t="s">
        <v>113</v>
      </c>
      <c r="G31" s="51">
        <f t="shared" si="5"/>
        <v>142.39915264990816</v>
      </c>
      <c r="H31" s="43" t="s">
        <v>122</v>
      </c>
      <c r="I31" s="47">
        <v>1000</v>
      </c>
      <c r="J31" s="44">
        <v>1016</v>
      </c>
      <c r="K31" s="45">
        <v>9.5</v>
      </c>
      <c r="L31" s="40">
        <f t="shared" si="3"/>
        <v>997</v>
      </c>
      <c r="M31" s="57">
        <f t="shared" si="0"/>
        <v>1.6723037328454954E-2</v>
      </c>
      <c r="N31" s="58" t="s">
        <v>123</v>
      </c>
      <c r="O31" s="46">
        <v>12.7</v>
      </c>
      <c r="P31" s="40">
        <f t="shared" si="1"/>
        <v>990.6</v>
      </c>
      <c r="Q31" s="64">
        <f t="shared" si="2"/>
        <v>1.6939821452503705E-2</v>
      </c>
      <c r="R31" s="65" t="s">
        <v>123</v>
      </c>
    </row>
    <row r="32" spans="2:27" ht="22.5" customHeight="1">
      <c r="I32" s="180" t="s">
        <v>146</v>
      </c>
      <c r="J32" s="181"/>
      <c r="K32" s="181"/>
      <c r="L32" s="181"/>
      <c r="M32" s="181"/>
      <c r="N32" s="181"/>
      <c r="O32" s="181"/>
      <c r="P32" s="181"/>
      <c r="Q32" s="181"/>
      <c r="R32" s="181"/>
    </row>
    <row r="33" spans="2:20" ht="22.5" customHeight="1"/>
    <row r="34" spans="2:20" ht="20.25" customHeight="1">
      <c r="B34" s="174" t="s">
        <v>211</v>
      </c>
      <c r="C34" s="175"/>
      <c r="D34" s="175"/>
      <c r="E34" s="175"/>
      <c r="F34" s="176"/>
    </row>
    <row r="35" spans="2:20">
      <c r="B35" s="177"/>
      <c r="C35" s="178"/>
      <c r="D35" s="178"/>
      <c r="E35" s="178"/>
      <c r="F35" s="179"/>
      <c r="G35" s="138" t="s">
        <v>220</v>
      </c>
      <c r="I35" s="138" t="s">
        <v>221</v>
      </c>
    </row>
    <row r="36" spans="2:20" ht="22.5" customHeight="1">
      <c r="B36" s="164" t="s">
        <v>214</v>
      </c>
      <c r="C36" s="165"/>
      <c r="D36" s="170">
        <v>5000</v>
      </c>
      <c r="E36" s="171"/>
      <c r="F36" s="136" t="s">
        <v>217</v>
      </c>
      <c r="G36" s="139" t="s">
        <v>120</v>
      </c>
      <c r="I36" s="139" t="s">
        <v>120</v>
      </c>
    </row>
    <row r="37" spans="2:20" ht="22.5" customHeight="1">
      <c r="B37" s="164" t="s">
        <v>215</v>
      </c>
      <c r="C37" s="165"/>
      <c r="D37" s="170">
        <v>800</v>
      </c>
      <c r="E37" s="171"/>
      <c r="F37" s="136" t="s">
        <v>216</v>
      </c>
      <c r="G37" s="137" cm="1">
        <f t="array" ref="G37">INDEX(L5:L31,MATCH(D37,I5:I31,0),0)</f>
        <v>793.8</v>
      </c>
      <c r="H37" s="136" t="s">
        <v>216</v>
      </c>
      <c r="I37" s="136" cm="1">
        <f t="array" ref="I37">INDEX(P5:P31,MATCH(D37,I5:I31,0),0)</f>
        <v>787.4</v>
      </c>
      <c r="J37" s="136" t="s">
        <v>216</v>
      </c>
    </row>
    <row r="38" spans="2:20" ht="22.5" customHeight="1">
      <c r="B38" s="164" t="s">
        <v>212</v>
      </c>
      <c r="C38" s="165"/>
      <c r="D38" s="168">
        <f>D36/((G37/(1000*2))*(G37/(1000*2))*PI()*3600)</f>
        <v>2.8064378763088018</v>
      </c>
      <c r="E38" s="169"/>
      <c r="F38" s="136" t="s">
        <v>213</v>
      </c>
      <c r="S38" s="31" t="s">
        <v>126</v>
      </c>
      <c r="T38" s="31" t="s">
        <v>127</v>
      </c>
    </row>
    <row r="39" spans="2:20" ht="22.5" customHeight="1">
      <c r="B39" s="31"/>
      <c r="D39" s="31"/>
      <c r="E39" s="31"/>
      <c r="F39" s="30"/>
      <c r="S39" s="31"/>
      <c r="T39" s="31"/>
    </row>
    <row r="40" spans="2:20" ht="22.5" customHeight="1">
      <c r="B40" s="31"/>
      <c r="D40" s="31"/>
      <c r="E40" s="31"/>
      <c r="F40" s="30"/>
      <c r="S40" s="31"/>
      <c r="T40" s="31"/>
    </row>
    <row r="41" spans="2:20" ht="22.5" customHeight="1">
      <c r="B41" s="31"/>
      <c r="D41" s="31"/>
      <c r="E41" s="31"/>
      <c r="F41" s="30"/>
      <c r="S41" s="31"/>
      <c r="T41" s="31"/>
    </row>
    <row r="42" spans="2:20" ht="22.5" customHeight="1">
      <c r="B42" s="31"/>
      <c r="D42" s="31"/>
      <c r="E42" s="31"/>
      <c r="F42" s="30"/>
      <c r="G42" s="138" t="s">
        <v>220</v>
      </c>
      <c r="I42" s="138" t="s">
        <v>221</v>
      </c>
      <c r="S42" s="31"/>
      <c r="T42" s="31"/>
    </row>
    <row r="43" spans="2:20" ht="22.5" customHeight="1">
      <c r="G43" s="139" t="s">
        <v>120</v>
      </c>
      <c r="I43" s="139" t="s">
        <v>120</v>
      </c>
      <c r="S43" s="30">
        <v>50</v>
      </c>
      <c r="T43" s="30">
        <v>100</v>
      </c>
    </row>
    <row r="44" spans="2:20" ht="22.5" customHeight="1">
      <c r="B44" s="166" t="s">
        <v>219</v>
      </c>
      <c r="C44" s="167"/>
      <c r="D44" s="170">
        <v>65</v>
      </c>
      <c r="E44" s="171"/>
      <c r="F44" s="136" t="s">
        <v>216</v>
      </c>
      <c r="G44" s="137" cm="1">
        <f t="array" ref="G44">INDEX(L5:L31,MATCH(D44,I5:I31,0),0)</f>
        <v>65.899999999999991</v>
      </c>
      <c r="H44" s="136" t="s">
        <v>216</v>
      </c>
      <c r="I44" s="136" cm="1">
        <f t="array" ref="I44">INDEX(P5:P31,MATCH(D44,I5:I31,0),0)</f>
        <v>62.3</v>
      </c>
      <c r="J44" s="136" t="s">
        <v>216</v>
      </c>
    </row>
    <row r="45" spans="2:20" ht="22.5" customHeight="1">
      <c r="B45" s="166" t="s">
        <v>218</v>
      </c>
      <c r="C45" s="167"/>
      <c r="D45" s="172">
        <f>D38*((G44/(1000*2))*(G44/(1000*2))*PI()*3600)</f>
        <v>34.460267501455746</v>
      </c>
      <c r="E45" s="173"/>
      <c r="F45" s="136" t="s">
        <v>217</v>
      </c>
      <c r="S45" s="30">
        <v>65</v>
      </c>
      <c r="T45" s="30">
        <v>125</v>
      </c>
    </row>
    <row r="46" spans="2:20" ht="22.5" customHeight="1">
      <c r="B46" s="166" t="s">
        <v>222</v>
      </c>
      <c r="C46" s="167"/>
      <c r="D46" s="170">
        <v>40</v>
      </c>
      <c r="E46" s="171"/>
      <c r="F46" s="136" t="s">
        <v>213</v>
      </c>
      <c r="S46" s="30">
        <v>80</v>
      </c>
      <c r="T46" s="30">
        <v>150</v>
      </c>
    </row>
    <row r="47" spans="2:20" ht="22.5" customHeight="1">
      <c r="C47" s="30"/>
      <c r="S47" s="30">
        <v>100</v>
      </c>
      <c r="T47" s="30">
        <v>200</v>
      </c>
    </row>
    <row r="48" spans="2:20" ht="22.5" customHeight="1">
      <c r="B48" s="166" t="s">
        <v>223</v>
      </c>
      <c r="C48" s="167"/>
      <c r="D48" s="164" t="str">
        <f>IF(D45&gt;=D46,"적정","미달")</f>
        <v>미달</v>
      </c>
      <c r="E48" s="165"/>
      <c r="S48" s="30">
        <v>125</v>
      </c>
      <c r="T48" s="30">
        <v>250</v>
      </c>
    </row>
    <row r="49" spans="2:26" ht="22.5" customHeight="1">
      <c r="B49" s="166" t="s">
        <v>224</v>
      </c>
      <c r="C49" s="167"/>
      <c r="D49" s="168">
        <f>ABS((D45/D46-1)*100)</f>
        <v>13.849331246360631</v>
      </c>
      <c r="E49" s="169"/>
      <c r="F49" s="164" t="str">
        <f>IF(D45&gt;=D46,"%초과","%부족")</f>
        <v>%부족</v>
      </c>
      <c r="G49" s="165"/>
      <c r="S49" s="30">
        <v>150</v>
      </c>
      <c r="T49" s="30">
        <v>300</v>
      </c>
    </row>
    <row r="50" spans="2:26">
      <c r="S50" s="30">
        <v>200</v>
      </c>
      <c r="T50" s="30">
        <v>350</v>
      </c>
    </row>
    <row r="51" spans="2:26">
      <c r="S51" s="30">
        <v>250</v>
      </c>
      <c r="T51" s="30">
        <v>450</v>
      </c>
    </row>
    <row r="53" spans="2:26">
      <c r="S53" s="30" t="s">
        <v>128</v>
      </c>
      <c r="T53" s="30" t="s">
        <v>147</v>
      </c>
      <c r="U53" s="30">
        <v>35.5</v>
      </c>
    </row>
    <row r="54" spans="2:26">
      <c r="T54" s="30" t="s">
        <v>129</v>
      </c>
      <c r="U54" s="30">
        <v>17.75</v>
      </c>
    </row>
    <row r="55" spans="2:26">
      <c r="T55" s="30" t="s">
        <v>148</v>
      </c>
      <c r="U55" s="30">
        <f>17.75*17.75*PI()</f>
        <v>989.79803542163415</v>
      </c>
    </row>
    <row r="56" spans="2:26">
      <c r="S56" s="30" t="s">
        <v>149</v>
      </c>
      <c r="U56" s="30">
        <v>1444.5</v>
      </c>
    </row>
    <row r="57" spans="2:26">
      <c r="T57" s="30" t="s">
        <v>150</v>
      </c>
      <c r="U57" s="30">
        <f>U55*U56</f>
        <v>1429763.2621665506</v>
      </c>
      <c r="V57" s="30" t="s">
        <v>130</v>
      </c>
    </row>
    <row r="58" spans="2:26">
      <c r="T58" s="48"/>
      <c r="U58" s="48">
        <f>U57*10^-9</f>
        <v>1.4297632621665507E-3</v>
      </c>
      <c r="V58" s="48" t="s">
        <v>131</v>
      </c>
    </row>
    <row r="59" spans="2:26">
      <c r="S59" s="30" t="s">
        <v>151</v>
      </c>
      <c r="U59" s="30">
        <v>1715</v>
      </c>
    </row>
    <row r="60" spans="2:26">
      <c r="T60" s="30" t="s">
        <v>150</v>
      </c>
      <c r="U60" s="48">
        <f>U55*U59</f>
        <v>1697503.6307481027</v>
      </c>
      <c r="V60" s="30" t="s">
        <v>130</v>
      </c>
    </row>
    <row r="61" spans="2:26">
      <c r="U61" s="30">
        <f>U60*10^-9</f>
        <v>1.6975036307481028E-3</v>
      </c>
      <c r="V61" s="30" t="s">
        <v>130</v>
      </c>
    </row>
    <row r="63" spans="2:26">
      <c r="S63" s="30" t="s">
        <v>152</v>
      </c>
      <c r="U63" s="30">
        <f>U58*4</f>
        <v>5.719053048666203E-3</v>
      </c>
      <c r="V63" s="48" t="s">
        <v>131</v>
      </c>
      <c r="W63" s="30" t="s">
        <v>132</v>
      </c>
      <c r="Y63" s="30">
        <f>U63+(U65*8)</f>
        <v>8.3990530486662031E-3</v>
      </c>
      <c r="Z63" s="48" t="s">
        <v>131</v>
      </c>
    </row>
    <row r="64" spans="2:26">
      <c r="S64" s="30" t="s">
        <v>153</v>
      </c>
      <c r="U64" s="30">
        <f>U61*4</f>
        <v>6.7900145229924111E-3</v>
      </c>
      <c r="V64" s="48" t="s">
        <v>131</v>
      </c>
      <c r="W64" s="30" t="s">
        <v>132</v>
      </c>
      <c r="Y64" s="30">
        <f>U64+(U65*4)</f>
        <v>8.1300145229924112E-3</v>
      </c>
      <c r="Z64" s="48" t="s">
        <v>131</v>
      </c>
    </row>
    <row r="65" spans="19:22">
      <c r="S65" s="30" t="s">
        <v>21</v>
      </c>
      <c r="U65" s="30">
        <v>3.3500000000000001E-4</v>
      </c>
      <c r="V65" s="48" t="s">
        <v>131</v>
      </c>
    </row>
  </sheetData>
  <mergeCells count="39">
    <mergeCell ref="V1:AA1"/>
    <mergeCell ref="I3:J3"/>
    <mergeCell ref="K3:L3"/>
    <mergeCell ref="M3:N4"/>
    <mergeCell ref="O3:P3"/>
    <mergeCell ref="Q3:R4"/>
    <mergeCell ref="T4:U4"/>
    <mergeCell ref="Z8:Z9"/>
    <mergeCell ref="AA8:AA9"/>
    <mergeCell ref="T5:U5"/>
    <mergeCell ref="C6:D6"/>
    <mergeCell ref="B8:C8"/>
    <mergeCell ref="D8:F8"/>
    <mergeCell ref="G8:H8"/>
    <mergeCell ref="T8:T9"/>
    <mergeCell ref="U8:U9"/>
    <mergeCell ref="I32:R32"/>
    <mergeCell ref="V8:V9"/>
    <mergeCell ref="W8:W9"/>
    <mergeCell ref="X8:X9"/>
    <mergeCell ref="Y8:Y9"/>
    <mergeCell ref="B34:F35"/>
    <mergeCell ref="B38:C38"/>
    <mergeCell ref="D38:E38"/>
    <mergeCell ref="B36:C36"/>
    <mergeCell ref="B37:C37"/>
    <mergeCell ref="D36:E36"/>
    <mergeCell ref="D37:E37"/>
    <mergeCell ref="B44:C44"/>
    <mergeCell ref="D44:E44"/>
    <mergeCell ref="B46:C46"/>
    <mergeCell ref="D46:E46"/>
    <mergeCell ref="B45:C45"/>
    <mergeCell ref="D45:E45"/>
    <mergeCell ref="D48:E48"/>
    <mergeCell ref="B48:C48"/>
    <mergeCell ref="D49:E49"/>
    <mergeCell ref="B49:C49"/>
    <mergeCell ref="F49:G4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4C011-8861-4684-B6E8-009E531301A9}">
  <sheetPr codeName="Sheet3"/>
  <dimension ref="V1:AE13"/>
  <sheetViews>
    <sheetView topLeftCell="A6" zoomScale="70" zoomScaleNormal="70" workbookViewId="0">
      <selection activeCell="A42" sqref="A42"/>
    </sheetView>
  </sheetViews>
  <sheetFormatPr defaultRowHeight="16.5"/>
  <cols>
    <col min="22" max="22" width="6.875" bestFit="1" customWidth="1"/>
    <col min="23" max="23" width="2.875" customWidth="1"/>
    <col min="24" max="24" width="6.5" bestFit="1" customWidth="1"/>
    <col min="25" max="25" width="6.25" bestFit="1" customWidth="1"/>
    <col min="26" max="26" width="2.875" customWidth="1"/>
    <col min="27" max="27" width="6.875" bestFit="1" customWidth="1"/>
    <col min="28" max="28" width="5.25" bestFit="1" customWidth="1"/>
    <col min="29" max="29" width="2.875" customWidth="1"/>
    <col min="30" max="30" width="5.25" bestFit="1" customWidth="1"/>
    <col min="31" max="31" width="11" bestFit="1" customWidth="1"/>
  </cols>
  <sheetData>
    <row r="1" spans="22:31" ht="17.25" thickBot="1"/>
    <row r="2" spans="22:31">
      <c r="V2" s="203" t="s">
        <v>156</v>
      </c>
      <c r="W2" s="204"/>
      <c r="X2" s="205"/>
      <c r="Y2" s="209" t="s">
        <v>157</v>
      </c>
      <c r="Z2" s="204"/>
      <c r="AA2" s="204"/>
      <c r="AB2" s="210" t="s">
        <v>158</v>
      </c>
      <c r="AC2" s="204"/>
      <c r="AD2" s="205"/>
      <c r="AE2" s="205" t="s">
        <v>159</v>
      </c>
    </row>
    <row r="3" spans="22:31" ht="17.25" thickBot="1">
      <c r="V3" s="206"/>
      <c r="W3" s="207"/>
      <c r="X3" s="208"/>
      <c r="Y3" s="207"/>
      <c r="Z3" s="207"/>
      <c r="AA3" s="207"/>
      <c r="AB3" s="206"/>
      <c r="AC3" s="207"/>
      <c r="AD3" s="208"/>
      <c r="AE3" s="208"/>
    </row>
    <row r="4" spans="22:31">
      <c r="V4" s="83">
        <v>0</v>
      </c>
      <c r="W4" s="78" t="s">
        <v>160</v>
      </c>
      <c r="X4" s="79">
        <v>1000</v>
      </c>
      <c r="Y4" s="84">
        <f>V4/31.25</f>
        <v>0</v>
      </c>
      <c r="Z4" s="78" t="s">
        <v>160</v>
      </c>
      <c r="AA4" s="78">
        <f>X4/31.25</f>
        <v>32</v>
      </c>
      <c r="AB4" s="85">
        <f>V4/1500</f>
        <v>0</v>
      </c>
      <c r="AC4" s="78" t="s">
        <v>160</v>
      </c>
      <c r="AD4" s="86">
        <f>X4/1499.9</f>
        <v>0.66671111407427153</v>
      </c>
      <c r="AE4" s="86">
        <f>ROUNDUP(AD4,0)</f>
        <v>1</v>
      </c>
    </row>
    <row r="5" spans="22:31">
      <c r="V5" s="87">
        <v>1001</v>
      </c>
      <c r="W5" s="88" t="s">
        <v>160</v>
      </c>
      <c r="X5" s="89">
        <v>1500</v>
      </c>
      <c r="Y5" s="90">
        <f t="shared" ref="Y5:Y13" si="0">V5/31.25</f>
        <v>32.031999999999996</v>
      </c>
      <c r="Z5" s="88" t="s">
        <v>160</v>
      </c>
      <c r="AA5" s="88">
        <f>X5/31.25</f>
        <v>48</v>
      </c>
      <c r="AB5" s="91">
        <f t="shared" ref="AB5:AB13" si="1">V5/1500</f>
        <v>0.66733333333333333</v>
      </c>
      <c r="AC5" s="88" t="s">
        <v>160</v>
      </c>
      <c r="AD5" s="92">
        <f t="shared" ref="AD5:AD13" si="2">X5/1499.9</f>
        <v>1.0000666711114075</v>
      </c>
      <c r="AE5" s="92">
        <f t="shared" ref="AE5:AE12" si="3">ROUNDUP(AD5,0)</f>
        <v>2</v>
      </c>
    </row>
    <row r="6" spans="22:31">
      <c r="V6" s="87">
        <v>1501</v>
      </c>
      <c r="W6" s="88" t="s">
        <v>160</v>
      </c>
      <c r="X6" s="89">
        <v>2600</v>
      </c>
      <c r="Y6" s="90">
        <f t="shared" si="0"/>
        <v>48.031999999999996</v>
      </c>
      <c r="Z6" s="88" t="s">
        <v>160</v>
      </c>
      <c r="AA6" s="88">
        <f>X6/31.25</f>
        <v>83.2</v>
      </c>
      <c r="AB6" s="91">
        <f t="shared" si="1"/>
        <v>1.0006666666666666</v>
      </c>
      <c r="AC6" s="88" t="s">
        <v>160</v>
      </c>
      <c r="AD6" s="92">
        <f t="shared" si="2"/>
        <v>1.7334488965931061</v>
      </c>
      <c r="AE6" s="92">
        <f t="shared" si="3"/>
        <v>2</v>
      </c>
    </row>
    <row r="7" spans="22:31">
      <c r="V7" s="87">
        <v>2601</v>
      </c>
      <c r="W7" s="88" t="s">
        <v>160</v>
      </c>
      <c r="X7" s="89">
        <v>4000</v>
      </c>
      <c r="Y7" s="90">
        <f t="shared" si="0"/>
        <v>83.231999999999999</v>
      </c>
      <c r="Z7" s="88" t="s">
        <v>160</v>
      </c>
      <c r="AA7" s="88">
        <f t="shared" ref="AA7:AA13" si="4">X7/31.25</f>
        <v>128</v>
      </c>
      <c r="AB7" s="91">
        <f t="shared" si="1"/>
        <v>1.734</v>
      </c>
      <c r="AC7" s="88" t="s">
        <v>160</v>
      </c>
      <c r="AD7" s="92">
        <f t="shared" si="2"/>
        <v>2.6668444562970861</v>
      </c>
      <c r="AE7" s="92">
        <f t="shared" si="3"/>
        <v>3</v>
      </c>
    </row>
    <row r="8" spans="22:31">
      <c r="V8" s="87">
        <v>4001</v>
      </c>
      <c r="W8" s="88" t="s">
        <v>160</v>
      </c>
      <c r="X8" s="89">
        <v>5200</v>
      </c>
      <c r="Y8" s="90">
        <f t="shared" si="0"/>
        <v>128.03200000000001</v>
      </c>
      <c r="Z8" s="88" t="s">
        <v>160</v>
      </c>
      <c r="AA8" s="88">
        <f t="shared" si="4"/>
        <v>166.4</v>
      </c>
      <c r="AB8" s="91">
        <f t="shared" si="1"/>
        <v>2.6673333333333331</v>
      </c>
      <c r="AC8" s="88" t="s">
        <v>160</v>
      </c>
      <c r="AD8" s="92">
        <f t="shared" si="2"/>
        <v>3.4668977931862122</v>
      </c>
      <c r="AE8" s="92">
        <f t="shared" si="3"/>
        <v>4</v>
      </c>
    </row>
    <row r="9" spans="22:31">
      <c r="V9" s="87">
        <v>5201</v>
      </c>
      <c r="W9" s="88" t="s">
        <v>160</v>
      </c>
      <c r="X9" s="89">
        <v>6600</v>
      </c>
      <c r="Y9" s="90">
        <f t="shared" si="0"/>
        <v>166.43199999999999</v>
      </c>
      <c r="Z9" s="88" t="s">
        <v>160</v>
      </c>
      <c r="AA9" s="88">
        <f t="shared" si="4"/>
        <v>211.2</v>
      </c>
      <c r="AB9" s="91">
        <f t="shared" si="1"/>
        <v>3.4673333333333334</v>
      </c>
      <c r="AC9" s="88" t="s">
        <v>160</v>
      </c>
      <c r="AD9" s="92">
        <f t="shared" si="2"/>
        <v>4.4002933528901922</v>
      </c>
      <c r="AE9" s="92">
        <f t="shared" si="3"/>
        <v>5</v>
      </c>
    </row>
    <row r="10" spans="22:31">
      <c r="V10" s="87">
        <v>6601</v>
      </c>
      <c r="W10" s="88" t="s">
        <v>160</v>
      </c>
      <c r="X10" s="89">
        <v>8000</v>
      </c>
      <c r="Y10" s="90">
        <f t="shared" si="0"/>
        <v>211.232</v>
      </c>
      <c r="Z10" s="88" t="s">
        <v>160</v>
      </c>
      <c r="AA10" s="88">
        <f t="shared" si="4"/>
        <v>256</v>
      </c>
      <c r="AB10" s="91">
        <f t="shared" si="1"/>
        <v>4.4006666666666669</v>
      </c>
      <c r="AC10" s="88" t="s">
        <v>160</v>
      </c>
      <c r="AD10" s="92">
        <f t="shared" si="2"/>
        <v>5.3336889125941722</v>
      </c>
      <c r="AE10" s="92">
        <f t="shared" si="3"/>
        <v>6</v>
      </c>
    </row>
    <row r="11" spans="22:31">
      <c r="V11" s="87">
        <v>8001</v>
      </c>
      <c r="W11" s="88" t="s">
        <v>160</v>
      </c>
      <c r="X11" s="89">
        <v>9200</v>
      </c>
      <c r="Y11" s="90">
        <f t="shared" si="0"/>
        <v>256.03199999999998</v>
      </c>
      <c r="Z11" s="88" t="s">
        <v>160</v>
      </c>
      <c r="AA11" s="88">
        <f t="shared" si="4"/>
        <v>294.39999999999998</v>
      </c>
      <c r="AB11" s="91">
        <f t="shared" si="1"/>
        <v>5.3339999999999996</v>
      </c>
      <c r="AC11" s="88" t="s">
        <v>160</v>
      </c>
      <c r="AD11" s="92">
        <f t="shared" si="2"/>
        <v>6.1337422494832987</v>
      </c>
      <c r="AE11" s="92">
        <f t="shared" si="3"/>
        <v>7</v>
      </c>
    </row>
    <row r="12" spans="22:31">
      <c r="V12" s="87">
        <v>9201</v>
      </c>
      <c r="W12" s="88" t="s">
        <v>160</v>
      </c>
      <c r="X12" s="89">
        <v>10600</v>
      </c>
      <c r="Y12" s="90">
        <f t="shared" si="0"/>
        <v>294.43200000000002</v>
      </c>
      <c r="Z12" s="88" t="s">
        <v>160</v>
      </c>
      <c r="AA12" s="88">
        <f t="shared" si="4"/>
        <v>339.2</v>
      </c>
      <c r="AB12" s="91">
        <f t="shared" si="1"/>
        <v>6.1340000000000003</v>
      </c>
      <c r="AC12" s="88" t="s">
        <v>160</v>
      </c>
      <c r="AD12" s="92">
        <f t="shared" si="2"/>
        <v>7.0671378091872787</v>
      </c>
      <c r="AE12" s="92">
        <f t="shared" si="3"/>
        <v>8</v>
      </c>
    </row>
    <row r="13" spans="22:31" ht="17.25" thickBot="1">
      <c r="V13" s="80">
        <v>10601</v>
      </c>
      <c r="W13" s="81" t="s">
        <v>160</v>
      </c>
      <c r="X13" s="82">
        <v>12000</v>
      </c>
      <c r="Y13" s="93">
        <f t="shared" si="0"/>
        <v>339.23200000000003</v>
      </c>
      <c r="Z13" s="81" t="s">
        <v>160</v>
      </c>
      <c r="AA13" s="81">
        <f t="shared" si="4"/>
        <v>384</v>
      </c>
      <c r="AB13" s="94">
        <f t="shared" si="1"/>
        <v>7.067333333333333</v>
      </c>
      <c r="AC13" s="81" t="s">
        <v>160</v>
      </c>
      <c r="AD13" s="95">
        <f t="shared" si="2"/>
        <v>8.0005333688912597</v>
      </c>
      <c r="AE13" s="95">
        <f>ROUNDUP(AD13,0)</f>
        <v>9</v>
      </c>
    </row>
  </sheetData>
  <mergeCells count="4">
    <mergeCell ref="V2:X3"/>
    <mergeCell ref="Y2:AA3"/>
    <mergeCell ref="AB2:AD3"/>
    <mergeCell ref="AE2:AE3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570-0F7F-4D84-A45A-BC2B5593C8A0}">
  <sheetPr codeName="Sheet4"/>
  <dimension ref="A1:M52"/>
  <sheetViews>
    <sheetView topLeftCell="A7" workbookViewId="0">
      <selection activeCell="F18" sqref="F18"/>
    </sheetView>
  </sheetViews>
  <sheetFormatPr defaultRowHeight="16.5"/>
  <cols>
    <col min="1" max="1" width="2.125" customWidth="1"/>
  </cols>
  <sheetData>
    <row r="1" spans="1:13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</row>
    <row r="2" spans="1:13" ht="22.5">
      <c r="A2" s="119"/>
      <c r="B2" s="120" t="s">
        <v>188</v>
      </c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</row>
    <row r="3" spans="1:13">
      <c r="A3" s="118"/>
      <c r="B3" s="214" t="s">
        <v>189</v>
      </c>
      <c r="C3" s="214"/>
      <c r="D3" s="121"/>
      <c r="E3" s="121"/>
      <c r="F3" s="121"/>
      <c r="G3" s="122"/>
      <c r="H3" s="214"/>
      <c r="I3" s="214"/>
      <c r="J3" s="215" t="s">
        <v>190</v>
      </c>
      <c r="K3" s="215"/>
      <c r="L3" s="215"/>
      <c r="M3" s="215"/>
    </row>
    <row r="4" spans="1:13" ht="46.5">
      <c r="A4" s="118"/>
      <c r="B4" s="123" t="s">
        <v>191</v>
      </c>
      <c r="C4" s="123" t="s">
        <v>192</v>
      </c>
      <c r="D4" s="124" t="s">
        <v>193</v>
      </c>
      <c r="E4" s="124" t="s">
        <v>194</v>
      </c>
      <c r="F4" s="124" t="s">
        <v>195</v>
      </c>
      <c r="G4" s="124" t="s">
        <v>196</v>
      </c>
      <c r="H4" s="123" t="s">
        <v>191</v>
      </c>
      <c r="I4" s="123" t="s">
        <v>192</v>
      </c>
      <c r="J4" s="124" t="s">
        <v>197</v>
      </c>
      <c r="K4" s="124" t="s">
        <v>194</v>
      </c>
      <c r="L4" s="124" t="s">
        <v>195</v>
      </c>
      <c r="M4" s="124" t="s">
        <v>196</v>
      </c>
    </row>
    <row r="5" spans="1:13">
      <c r="A5" s="118"/>
      <c r="B5" s="125">
        <v>1</v>
      </c>
      <c r="C5" s="126">
        <v>2245</v>
      </c>
      <c r="D5" s="126">
        <f>C5*0.15</f>
        <v>336.75</v>
      </c>
      <c r="E5" s="127">
        <f>C5-D5</f>
        <v>1908.25</v>
      </c>
      <c r="F5" s="128">
        <f>(C5/5)/1000</f>
        <v>0.44900000000000001</v>
      </c>
      <c r="G5" s="211">
        <v>1</v>
      </c>
      <c r="H5" s="125">
        <v>49</v>
      </c>
      <c r="I5" s="126">
        <v>109985</v>
      </c>
      <c r="J5" s="126">
        <f>I5*0.15</f>
        <v>16497.75</v>
      </c>
      <c r="K5" s="127">
        <f>I5-J5</f>
        <v>93487.25</v>
      </c>
      <c r="L5" s="128">
        <f>(I5/5)/1000</f>
        <v>21.997</v>
      </c>
      <c r="M5" s="216">
        <v>4</v>
      </c>
    </row>
    <row r="6" spans="1:13">
      <c r="A6" s="118"/>
      <c r="B6" s="125">
        <v>2</v>
      </c>
      <c r="C6" s="126">
        <v>4489</v>
      </c>
      <c r="D6" s="126">
        <f t="shared" ref="D6:D52" si="0">C6*0.15</f>
        <v>673.35</v>
      </c>
      <c r="E6" s="127">
        <f t="shared" ref="E6:E52" si="1">C6-D6</f>
        <v>3815.65</v>
      </c>
      <c r="F6" s="128">
        <f t="shared" ref="F6:F52" si="2">(C6/5)/1000</f>
        <v>0.89779999999999993</v>
      </c>
      <c r="G6" s="211"/>
      <c r="H6" s="125">
        <v>50</v>
      </c>
      <c r="I6" s="126">
        <v>112230</v>
      </c>
      <c r="J6" s="126">
        <f t="shared" ref="J6:J36" si="3">I6*0.15</f>
        <v>16834.5</v>
      </c>
      <c r="K6" s="127">
        <f t="shared" ref="K6:K36" si="4">I6-J6</f>
        <v>95395.5</v>
      </c>
      <c r="L6" s="128">
        <f t="shared" ref="L6:L36" si="5">(I6/5)/1000</f>
        <v>22.446000000000002</v>
      </c>
      <c r="M6" s="217"/>
    </row>
    <row r="7" spans="1:13">
      <c r="A7" s="118"/>
      <c r="B7" s="125">
        <v>3</v>
      </c>
      <c r="C7" s="126">
        <v>6734</v>
      </c>
      <c r="D7" s="126">
        <f t="shared" si="0"/>
        <v>1010.0999999999999</v>
      </c>
      <c r="E7" s="127">
        <f t="shared" si="1"/>
        <v>5723.9</v>
      </c>
      <c r="F7" s="128">
        <f t="shared" si="2"/>
        <v>1.3468</v>
      </c>
      <c r="G7" s="211"/>
      <c r="H7" s="125">
        <v>51</v>
      </c>
      <c r="I7" s="126">
        <v>114475</v>
      </c>
      <c r="J7" s="126">
        <f t="shared" si="3"/>
        <v>17171.25</v>
      </c>
      <c r="K7" s="127">
        <f t="shared" si="4"/>
        <v>97303.75</v>
      </c>
      <c r="L7" s="128">
        <f t="shared" si="5"/>
        <v>22.895</v>
      </c>
      <c r="M7" s="217"/>
    </row>
    <row r="8" spans="1:13">
      <c r="A8" s="118"/>
      <c r="B8" s="125">
        <v>4</v>
      </c>
      <c r="C8" s="126">
        <v>8978</v>
      </c>
      <c r="D8" s="126">
        <f t="shared" si="0"/>
        <v>1346.7</v>
      </c>
      <c r="E8" s="127">
        <f t="shared" si="1"/>
        <v>7631.3</v>
      </c>
      <c r="F8" s="128">
        <f t="shared" si="2"/>
        <v>1.7955999999999999</v>
      </c>
      <c r="G8" s="211"/>
      <c r="H8" s="125">
        <v>52</v>
      </c>
      <c r="I8" s="126">
        <v>116719</v>
      </c>
      <c r="J8" s="126">
        <f t="shared" si="3"/>
        <v>17507.849999999999</v>
      </c>
      <c r="K8" s="127">
        <f t="shared" si="4"/>
        <v>99211.15</v>
      </c>
      <c r="L8" s="128">
        <f t="shared" si="5"/>
        <v>23.343799999999998</v>
      </c>
      <c r="M8" s="217"/>
    </row>
    <row r="9" spans="1:13">
      <c r="A9" s="118"/>
      <c r="B9" s="125">
        <v>5</v>
      </c>
      <c r="C9" s="126">
        <v>11223</v>
      </c>
      <c r="D9" s="126">
        <f t="shared" si="0"/>
        <v>1683.45</v>
      </c>
      <c r="E9" s="127">
        <f t="shared" si="1"/>
        <v>9539.5499999999993</v>
      </c>
      <c r="F9" s="128">
        <f t="shared" si="2"/>
        <v>2.2445999999999997</v>
      </c>
      <c r="G9" s="211"/>
      <c r="H9" s="125">
        <v>53</v>
      </c>
      <c r="I9" s="126">
        <v>118964</v>
      </c>
      <c r="J9" s="126">
        <f t="shared" si="3"/>
        <v>17844.599999999999</v>
      </c>
      <c r="K9" s="127">
        <f t="shared" si="4"/>
        <v>101119.4</v>
      </c>
      <c r="L9" s="128">
        <f t="shared" si="5"/>
        <v>23.7928</v>
      </c>
      <c r="M9" s="217"/>
    </row>
    <row r="10" spans="1:13">
      <c r="A10" s="118"/>
      <c r="B10" s="125">
        <v>6</v>
      </c>
      <c r="C10" s="126">
        <v>13468</v>
      </c>
      <c r="D10" s="126">
        <f t="shared" si="0"/>
        <v>2020.1999999999998</v>
      </c>
      <c r="E10" s="127">
        <f t="shared" si="1"/>
        <v>11447.8</v>
      </c>
      <c r="F10" s="128">
        <f t="shared" si="2"/>
        <v>2.6936</v>
      </c>
      <c r="G10" s="211"/>
      <c r="H10" s="125">
        <v>54</v>
      </c>
      <c r="I10" s="126">
        <v>121208</v>
      </c>
      <c r="J10" s="126">
        <f t="shared" si="3"/>
        <v>18181.2</v>
      </c>
      <c r="K10" s="127">
        <f t="shared" si="4"/>
        <v>103026.8</v>
      </c>
      <c r="L10" s="128">
        <f t="shared" si="5"/>
        <v>24.241599999999998</v>
      </c>
      <c r="M10" s="217"/>
    </row>
    <row r="11" spans="1:13">
      <c r="A11" s="118"/>
      <c r="B11" s="125">
        <v>7</v>
      </c>
      <c r="C11" s="126">
        <v>15712</v>
      </c>
      <c r="D11" s="126">
        <f t="shared" si="0"/>
        <v>2356.7999999999997</v>
      </c>
      <c r="E11" s="127">
        <f t="shared" si="1"/>
        <v>13355.2</v>
      </c>
      <c r="F11" s="128">
        <f t="shared" si="2"/>
        <v>3.1424000000000003</v>
      </c>
      <c r="G11" s="211"/>
      <c r="H11" s="125">
        <v>55</v>
      </c>
      <c r="I11" s="126">
        <v>123453</v>
      </c>
      <c r="J11" s="126">
        <f t="shared" si="3"/>
        <v>18517.95</v>
      </c>
      <c r="K11" s="127">
        <f t="shared" si="4"/>
        <v>104935.05</v>
      </c>
      <c r="L11" s="128">
        <f t="shared" si="5"/>
        <v>24.6906</v>
      </c>
      <c r="M11" s="217"/>
    </row>
    <row r="12" spans="1:13">
      <c r="A12" s="118"/>
      <c r="B12" s="125">
        <v>8</v>
      </c>
      <c r="C12" s="126">
        <v>17957</v>
      </c>
      <c r="D12" s="126">
        <f t="shared" si="0"/>
        <v>2693.5499999999997</v>
      </c>
      <c r="E12" s="127">
        <f t="shared" si="1"/>
        <v>15263.45</v>
      </c>
      <c r="F12" s="128">
        <f t="shared" si="2"/>
        <v>3.5914000000000001</v>
      </c>
      <c r="G12" s="211"/>
      <c r="H12" s="125">
        <v>56</v>
      </c>
      <c r="I12" s="126">
        <v>125698</v>
      </c>
      <c r="J12" s="126">
        <f t="shared" si="3"/>
        <v>18854.7</v>
      </c>
      <c r="K12" s="127">
        <f t="shared" si="4"/>
        <v>106843.3</v>
      </c>
      <c r="L12" s="128">
        <f t="shared" si="5"/>
        <v>25.139599999999998</v>
      </c>
      <c r="M12" s="217"/>
    </row>
    <row r="13" spans="1:13">
      <c r="A13" s="118"/>
      <c r="B13" s="125">
        <v>9</v>
      </c>
      <c r="C13" s="126">
        <v>20201</v>
      </c>
      <c r="D13" s="126">
        <f t="shared" si="0"/>
        <v>3030.15</v>
      </c>
      <c r="E13" s="127">
        <f t="shared" si="1"/>
        <v>17170.849999999999</v>
      </c>
      <c r="F13" s="128">
        <f t="shared" si="2"/>
        <v>4.0401999999999996</v>
      </c>
      <c r="G13" s="211"/>
      <c r="H13" s="125">
        <v>57</v>
      </c>
      <c r="I13" s="126">
        <v>127942</v>
      </c>
      <c r="J13" s="126">
        <f t="shared" si="3"/>
        <v>19191.3</v>
      </c>
      <c r="K13" s="127">
        <f t="shared" si="4"/>
        <v>108750.7</v>
      </c>
      <c r="L13" s="128">
        <f t="shared" si="5"/>
        <v>25.5884</v>
      </c>
      <c r="M13" s="217"/>
    </row>
    <row r="14" spans="1:13">
      <c r="A14" s="118"/>
      <c r="B14" s="125">
        <v>10</v>
      </c>
      <c r="C14" s="126">
        <v>22446</v>
      </c>
      <c r="D14" s="126">
        <f t="shared" si="0"/>
        <v>3366.9</v>
      </c>
      <c r="E14" s="127">
        <f t="shared" si="1"/>
        <v>19079.099999999999</v>
      </c>
      <c r="F14" s="128">
        <f t="shared" si="2"/>
        <v>4.4891999999999994</v>
      </c>
      <c r="G14" s="211"/>
      <c r="H14" s="125">
        <v>58</v>
      </c>
      <c r="I14" s="126">
        <v>130187</v>
      </c>
      <c r="J14" s="126">
        <f t="shared" si="3"/>
        <v>19528.05</v>
      </c>
      <c r="K14" s="127">
        <f t="shared" si="4"/>
        <v>110658.95</v>
      </c>
      <c r="L14" s="128">
        <f t="shared" si="5"/>
        <v>26.037400000000002</v>
      </c>
      <c r="M14" s="217"/>
    </row>
    <row r="15" spans="1:13">
      <c r="A15" s="118"/>
      <c r="B15" s="125">
        <v>11</v>
      </c>
      <c r="C15" s="126">
        <v>24691</v>
      </c>
      <c r="D15" s="126">
        <f t="shared" si="0"/>
        <v>3703.6499999999996</v>
      </c>
      <c r="E15" s="127">
        <f t="shared" si="1"/>
        <v>20987.35</v>
      </c>
      <c r="F15" s="128">
        <f t="shared" si="2"/>
        <v>4.9382000000000001</v>
      </c>
      <c r="G15" s="211"/>
      <c r="H15" s="125">
        <v>59</v>
      </c>
      <c r="I15" s="126">
        <v>132431</v>
      </c>
      <c r="J15" s="126">
        <f t="shared" si="3"/>
        <v>19864.649999999998</v>
      </c>
      <c r="K15" s="127">
        <f t="shared" si="4"/>
        <v>112566.35</v>
      </c>
      <c r="L15" s="128">
        <f t="shared" si="5"/>
        <v>26.4862</v>
      </c>
      <c r="M15" s="217"/>
    </row>
    <row r="16" spans="1:13">
      <c r="A16" s="118"/>
      <c r="B16" s="125">
        <v>12</v>
      </c>
      <c r="C16" s="126">
        <v>26935</v>
      </c>
      <c r="D16" s="126">
        <f t="shared" si="0"/>
        <v>4040.25</v>
      </c>
      <c r="E16" s="127">
        <f t="shared" si="1"/>
        <v>22894.75</v>
      </c>
      <c r="F16" s="128">
        <f t="shared" si="2"/>
        <v>5.3869999999999996</v>
      </c>
      <c r="G16" s="211"/>
      <c r="H16" s="125">
        <v>60</v>
      </c>
      <c r="I16" s="126">
        <v>134676</v>
      </c>
      <c r="J16" s="126">
        <f t="shared" si="3"/>
        <v>20201.399999999998</v>
      </c>
      <c r="K16" s="127">
        <f t="shared" si="4"/>
        <v>114474.6</v>
      </c>
      <c r="L16" s="128">
        <f t="shared" si="5"/>
        <v>26.935200000000002</v>
      </c>
      <c r="M16" s="217"/>
    </row>
    <row r="17" spans="1:13">
      <c r="A17" s="118"/>
      <c r="B17" s="125">
        <v>13</v>
      </c>
      <c r="C17" s="126">
        <v>29180</v>
      </c>
      <c r="D17" s="126">
        <f t="shared" si="0"/>
        <v>4377</v>
      </c>
      <c r="E17" s="127">
        <f t="shared" si="1"/>
        <v>24803</v>
      </c>
      <c r="F17" s="128">
        <f t="shared" si="2"/>
        <v>5.8360000000000003</v>
      </c>
      <c r="G17" s="211"/>
      <c r="H17" s="125">
        <v>61</v>
      </c>
      <c r="I17" s="126">
        <v>136921</v>
      </c>
      <c r="J17" s="126">
        <f t="shared" si="3"/>
        <v>20538.149999999998</v>
      </c>
      <c r="K17" s="127">
        <f t="shared" si="4"/>
        <v>116382.85</v>
      </c>
      <c r="L17" s="128">
        <f t="shared" si="5"/>
        <v>27.3842</v>
      </c>
      <c r="M17" s="217"/>
    </row>
    <row r="18" spans="1:13">
      <c r="A18" s="118"/>
      <c r="B18" s="125">
        <v>14</v>
      </c>
      <c r="C18" s="126">
        <v>31424</v>
      </c>
      <c r="D18" s="126">
        <f t="shared" si="0"/>
        <v>4713.5999999999995</v>
      </c>
      <c r="E18" s="127">
        <f t="shared" si="1"/>
        <v>26710.400000000001</v>
      </c>
      <c r="F18" s="128">
        <f t="shared" si="2"/>
        <v>6.2848000000000006</v>
      </c>
      <c r="G18" s="211"/>
      <c r="H18" s="125">
        <v>62</v>
      </c>
      <c r="I18" s="126">
        <v>139165</v>
      </c>
      <c r="J18" s="126">
        <f t="shared" si="3"/>
        <v>20874.75</v>
      </c>
      <c r="K18" s="127">
        <f t="shared" si="4"/>
        <v>118290.25</v>
      </c>
      <c r="L18" s="128">
        <f t="shared" si="5"/>
        <v>27.832999999999998</v>
      </c>
      <c r="M18" s="217"/>
    </row>
    <row r="19" spans="1:13">
      <c r="A19" s="118"/>
      <c r="B19" s="125">
        <v>15</v>
      </c>
      <c r="C19" s="126">
        <v>33669</v>
      </c>
      <c r="D19" s="126">
        <f t="shared" si="0"/>
        <v>5050.3499999999995</v>
      </c>
      <c r="E19" s="127">
        <f t="shared" si="1"/>
        <v>28618.65</v>
      </c>
      <c r="F19" s="128">
        <f t="shared" si="2"/>
        <v>6.7338000000000005</v>
      </c>
      <c r="G19" s="211"/>
      <c r="H19" s="125">
        <v>63</v>
      </c>
      <c r="I19" s="126">
        <v>141410</v>
      </c>
      <c r="J19" s="126">
        <f t="shared" si="3"/>
        <v>21211.5</v>
      </c>
      <c r="K19" s="127">
        <f t="shared" si="4"/>
        <v>120198.5</v>
      </c>
      <c r="L19" s="128">
        <f t="shared" si="5"/>
        <v>28.282</v>
      </c>
      <c r="M19" s="217"/>
    </row>
    <row r="20" spans="1:13">
      <c r="A20" s="118"/>
      <c r="B20" s="125">
        <v>16</v>
      </c>
      <c r="C20" s="126">
        <v>35914</v>
      </c>
      <c r="D20" s="126">
        <f t="shared" si="0"/>
        <v>5387.0999999999995</v>
      </c>
      <c r="E20" s="127">
        <f t="shared" si="1"/>
        <v>30526.9</v>
      </c>
      <c r="F20" s="128">
        <f t="shared" si="2"/>
        <v>7.1828000000000003</v>
      </c>
      <c r="G20" s="211"/>
      <c r="H20" s="125">
        <v>64</v>
      </c>
      <c r="I20" s="126">
        <v>143654</v>
      </c>
      <c r="J20" s="126">
        <f t="shared" si="3"/>
        <v>21548.1</v>
      </c>
      <c r="K20" s="127">
        <f t="shared" si="4"/>
        <v>122105.9</v>
      </c>
      <c r="L20" s="128">
        <f t="shared" si="5"/>
        <v>28.730799999999999</v>
      </c>
      <c r="M20" s="218"/>
    </row>
    <row r="21" spans="1:13">
      <c r="A21" s="118"/>
      <c r="B21" s="125">
        <v>17</v>
      </c>
      <c r="C21" s="126">
        <v>38158</v>
      </c>
      <c r="D21" s="126">
        <f t="shared" si="0"/>
        <v>5723.7</v>
      </c>
      <c r="E21" s="127">
        <f t="shared" si="1"/>
        <v>32434.3</v>
      </c>
      <c r="F21" s="128">
        <f t="shared" si="2"/>
        <v>7.6316000000000006</v>
      </c>
      <c r="G21" s="211">
        <v>2</v>
      </c>
      <c r="H21" s="125">
        <v>65</v>
      </c>
      <c r="I21" s="126">
        <v>145899</v>
      </c>
      <c r="J21" s="126">
        <f t="shared" si="3"/>
        <v>21884.85</v>
      </c>
      <c r="K21" s="127">
        <f t="shared" si="4"/>
        <v>124014.15</v>
      </c>
      <c r="L21" s="128">
        <f t="shared" si="5"/>
        <v>29.1798</v>
      </c>
      <c r="M21" s="216">
        <v>5</v>
      </c>
    </row>
    <row r="22" spans="1:13">
      <c r="A22" s="118"/>
      <c r="B22" s="125">
        <v>18</v>
      </c>
      <c r="C22" s="126">
        <v>40403</v>
      </c>
      <c r="D22" s="126">
        <f t="shared" si="0"/>
        <v>6060.45</v>
      </c>
      <c r="E22" s="127">
        <f t="shared" si="1"/>
        <v>34342.550000000003</v>
      </c>
      <c r="F22" s="128">
        <f t="shared" si="2"/>
        <v>8.0806000000000004</v>
      </c>
      <c r="G22" s="211"/>
      <c r="H22" s="125">
        <v>66</v>
      </c>
      <c r="I22" s="126">
        <v>148144</v>
      </c>
      <c r="J22" s="126">
        <f t="shared" si="3"/>
        <v>22221.599999999999</v>
      </c>
      <c r="K22" s="127">
        <f t="shared" si="4"/>
        <v>125922.4</v>
      </c>
      <c r="L22" s="128">
        <f t="shared" si="5"/>
        <v>29.628799999999998</v>
      </c>
      <c r="M22" s="217"/>
    </row>
    <row r="23" spans="1:13">
      <c r="A23" s="118"/>
      <c r="B23" s="125">
        <v>19</v>
      </c>
      <c r="C23" s="126">
        <v>42647</v>
      </c>
      <c r="D23" s="126">
        <f t="shared" si="0"/>
        <v>6397.05</v>
      </c>
      <c r="E23" s="127">
        <f t="shared" si="1"/>
        <v>36249.949999999997</v>
      </c>
      <c r="F23" s="128">
        <f t="shared" si="2"/>
        <v>8.529399999999999</v>
      </c>
      <c r="G23" s="211"/>
      <c r="H23" s="125">
        <v>67</v>
      </c>
      <c r="I23" s="126">
        <v>150388</v>
      </c>
      <c r="J23" s="126">
        <f t="shared" si="3"/>
        <v>22558.2</v>
      </c>
      <c r="K23" s="127">
        <f t="shared" si="4"/>
        <v>127829.8</v>
      </c>
      <c r="L23" s="128">
        <f t="shared" si="5"/>
        <v>30.077599999999997</v>
      </c>
      <c r="M23" s="217"/>
    </row>
    <row r="24" spans="1:13">
      <c r="A24" s="118"/>
      <c r="B24" s="125">
        <v>20</v>
      </c>
      <c r="C24" s="126">
        <v>44892</v>
      </c>
      <c r="D24" s="126">
        <f t="shared" si="0"/>
        <v>6733.8</v>
      </c>
      <c r="E24" s="127">
        <f t="shared" si="1"/>
        <v>38158.199999999997</v>
      </c>
      <c r="F24" s="128">
        <f t="shared" si="2"/>
        <v>8.9783999999999988</v>
      </c>
      <c r="G24" s="211"/>
      <c r="H24" s="125">
        <v>68</v>
      </c>
      <c r="I24" s="126">
        <v>152633</v>
      </c>
      <c r="J24" s="126">
        <f t="shared" si="3"/>
        <v>22894.95</v>
      </c>
      <c r="K24" s="127">
        <f t="shared" si="4"/>
        <v>129738.05</v>
      </c>
      <c r="L24" s="128">
        <f t="shared" si="5"/>
        <v>30.526599999999998</v>
      </c>
      <c r="M24" s="217"/>
    </row>
    <row r="25" spans="1:13">
      <c r="A25" s="118"/>
      <c r="B25" s="125">
        <v>21</v>
      </c>
      <c r="C25" s="126">
        <v>47137</v>
      </c>
      <c r="D25" s="126">
        <f t="shared" si="0"/>
        <v>7070.55</v>
      </c>
      <c r="E25" s="127">
        <f t="shared" si="1"/>
        <v>40066.449999999997</v>
      </c>
      <c r="F25" s="128">
        <f t="shared" si="2"/>
        <v>9.4274000000000004</v>
      </c>
      <c r="G25" s="211"/>
      <c r="H25" s="125">
        <v>69</v>
      </c>
      <c r="I25" s="126">
        <v>154877</v>
      </c>
      <c r="J25" s="126">
        <f t="shared" si="3"/>
        <v>23231.55</v>
      </c>
      <c r="K25" s="127">
        <f t="shared" si="4"/>
        <v>131645.45000000001</v>
      </c>
      <c r="L25" s="128">
        <f t="shared" si="5"/>
        <v>30.9754</v>
      </c>
      <c r="M25" s="217"/>
    </row>
    <row r="26" spans="1:13">
      <c r="A26" s="118"/>
      <c r="B26" s="125">
        <v>22</v>
      </c>
      <c r="C26" s="126">
        <v>49381</v>
      </c>
      <c r="D26" s="126">
        <f t="shared" si="0"/>
        <v>7407.15</v>
      </c>
      <c r="E26" s="127">
        <f t="shared" si="1"/>
        <v>41973.85</v>
      </c>
      <c r="F26" s="128">
        <f t="shared" si="2"/>
        <v>9.8762000000000008</v>
      </c>
      <c r="G26" s="211"/>
      <c r="H26" s="125">
        <v>70</v>
      </c>
      <c r="I26" s="126">
        <v>157122</v>
      </c>
      <c r="J26" s="126">
        <f t="shared" si="3"/>
        <v>23568.3</v>
      </c>
      <c r="K26" s="127">
        <f t="shared" si="4"/>
        <v>133553.70000000001</v>
      </c>
      <c r="L26" s="128">
        <f t="shared" si="5"/>
        <v>31.424400000000002</v>
      </c>
      <c r="M26" s="217"/>
    </row>
    <row r="27" spans="1:13">
      <c r="A27" s="118"/>
      <c r="B27" s="125">
        <v>23</v>
      </c>
      <c r="C27" s="126">
        <v>51626</v>
      </c>
      <c r="D27" s="126">
        <f t="shared" si="0"/>
        <v>7743.9</v>
      </c>
      <c r="E27" s="127">
        <f t="shared" si="1"/>
        <v>43882.1</v>
      </c>
      <c r="F27" s="128">
        <f t="shared" si="2"/>
        <v>10.325200000000001</v>
      </c>
      <c r="G27" s="211"/>
      <c r="H27" s="125">
        <v>71</v>
      </c>
      <c r="I27" s="126">
        <v>159367</v>
      </c>
      <c r="J27" s="126">
        <f t="shared" si="3"/>
        <v>23905.05</v>
      </c>
      <c r="K27" s="127">
        <f t="shared" si="4"/>
        <v>135461.95000000001</v>
      </c>
      <c r="L27" s="128">
        <f t="shared" si="5"/>
        <v>31.8734</v>
      </c>
      <c r="M27" s="217"/>
    </row>
    <row r="28" spans="1:13">
      <c r="A28" s="118"/>
      <c r="B28" s="125">
        <v>24</v>
      </c>
      <c r="C28" s="126">
        <v>53870</v>
      </c>
      <c r="D28" s="126">
        <f t="shared" si="0"/>
        <v>8080.5</v>
      </c>
      <c r="E28" s="127">
        <f t="shared" si="1"/>
        <v>45789.5</v>
      </c>
      <c r="F28" s="128">
        <f t="shared" si="2"/>
        <v>10.773999999999999</v>
      </c>
      <c r="G28" s="211"/>
      <c r="H28" s="125">
        <v>72</v>
      </c>
      <c r="I28" s="126">
        <v>161611</v>
      </c>
      <c r="J28" s="126">
        <f t="shared" si="3"/>
        <v>24241.649999999998</v>
      </c>
      <c r="K28" s="127">
        <f t="shared" si="4"/>
        <v>137369.35</v>
      </c>
      <c r="L28" s="128">
        <f t="shared" si="5"/>
        <v>32.322200000000002</v>
      </c>
      <c r="M28" s="217"/>
    </row>
    <row r="29" spans="1:13">
      <c r="A29" s="118"/>
      <c r="B29" s="125">
        <v>25</v>
      </c>
      <c r="C29" s="126">
        <v>56115</v>
      </c>
      <c r="D29" s="126">
        <f t="shared" si="0"/>
        <v>8417.25</v>
      </c>
      <c r="E29" s="127">
        <f t="shared" si="1"/>
        <v>47697.75</v>
      </c>
      <c r="F29" s="128">
        <f t="shared" si="2"/>
        <v>11.223000000000001</v>
      </c>
      <c r="G29" s="211"/>
      <c r="H29" s="125">
        <v>73</v>
      </c>
      <c r="I29" s="126">
        <v>163856</v>
      </c>
      <c r="J29" s="126">
        <f t="shared" si="3"/>
        <v>24578.399999999998</v>
      </c>
      <c r="K29" s="127">
        <f t="shared" si="4"/>
        <v>139277.6</v>
      </c>
      <c r="L29" s="128">
        <f t="shared" si="5"/>
        <v>32.7712</v>
      </c>
      <c r="M29" s="217"/>
    </row>
    <row r="30" spans="1:13">
      <c r="A30" s="118"/>
      <c r="B30" s="125">
        <v>26</v>
      </c>
      <c r="C30" s="126">
        <v>58360</v>
      </c>
      <c r="D30" s="126">
        <f t="shared" si="0"/>
        <v>8754</v>
      </c>
      <c r="E30" s="127">
        <f t="shared" si="1"/>
        <v>49606</v>
      </c>
      <c r="F30" s="128">
        <f t="shared" si="2"/>
        <v>11.672000000000001</v>
      </c>
      <c r="G30" s="211"/>
      <c r="H30" s="125">
        <v>74</v>
      </c>
      <c r="I30" s="126">
        <v>166100</v>
      </c>
      <c r="J30" s="126">
        <f t="shared" si="3"/>
        <v>24915</v>
      </c>
      <c r="K30" s="127">
        <f t="shared" si="4"/>
        <v>141185</v>
      </c>
      <c r="L30" s="128">
        <f t="shared" si="5"/>
        <v>33.22</v>
      </c>
      <c r="M30" s="217"/>
    </row>
    <row r="31" spans="1:13">
      <c r="A31" s="118"/>
      <c r="B31" s="125">
        <v>27</v>
      </c>
      <c r="C31" s="126">
        <v>60604</v>
      </c>
      <c r="D31" s="126">
        <f t="shared" si="0"/>
        <v>9090.6</v>
      </c>
      <c r="E31" s="127">
        <f t="shared" si="1"/>
        <v>51513.4</v>
      </c>
      <c r="F31" s="128">
        <f t="shared" si="2"/>
        <v>12.120799999999999</v>
      </c>
      <c r="G31" s="211"/>
      <c r="H31" s="125">
        <v>75</v>
      </c>
      <c r="I31" s="126">
        <v>168345</v>
      </c>
      <c r="J31" s="126">
        <f t="shared" si="3"/>
        <v>25251.75</v>
      </c>
      <c r="K31" s="127">
        <f t="shared" si="4"/>
        <v>143093.25</v>
      </c>
      <c r="L31" s="128">
        <f t="shared" si="5"/>
        <v>33.668999999999997</v>
      </c>
      <c r="M31" s="217"/>
    </row>
    <row r="32" spans="1:13">
      <c r="A32" s="118"/>
      <c r="B32" s="125">
        <v>28</v>
      </c>
      <c r="C32" s="126">
        <v>62849</v>
      </c>
      <c r="D32" s="126">
        <f t="shared" si="0"/>
        <v>9427.35</v>
      </c>
      <c r="E32" s="127">
        <f t="shared" si="1"/>
        <v>53421.65</v>
      </c>
      <c r="F32" s="128">
        <f t="shared" si="2"/>
        <v>12.569799999999999</v>
      </c>
      <c r="G32" s="211"/>
      <c r="H32" s="125">
        <v>76</v>
      </c>
      <c r="I32" s="126">
        <v>170590</v>
      </c>
      <c r="J32" s="126">
        <f t="shared" si="3"/>
        <v>25588.5</v>
      </c>
      <c r="K32" s="127">
        <f t="shared" si="4"/>
        <v>145001.5</v>
      </c>
      <c r="L32" s="128">
        <f t="shared" si="5"/>
        <v>34.118000000000002</v>
      </c>
      <c r="M32" s="217"/>
    </row>
    <row r="33" spans="1:13">
      <c r="A33" s="118"/>
      <c r="B33" s="125">
        <v>29</v>
      </c>
      <c r="C33" s="126">
        <v>65093</v>
      </c>
      <c r="D33" s="126">
        <f t="shared" si="0"/>
        <v>9763.9499999999989</v>
      </c>
      <c r="E33" s="127">
        <f t="shared" si="1"/>
        <v>55329.05</v>
      </c>
      <c r="F33" s="128">
        <f t="shared" si="2"/>
        <v>13.018600000000001</v>
      </c>
      <c r="G33" s="211"/>
      <c r="H33" s="125">
        <v>77</v>
      </c>
      <c r="I33" s="126">
        <v>172834</v>
      </c>
      <c r="J33" s="126">
        <f t="shared" si="3"/>
        <v>25925.1</v>
      </c>
      <c r="K33" s="127">
        <f t="shared" si="4"/>
        <v>146908.9</v>
      </c>
      <c r="L33" s="128">
        <f t="shared" si="5"/>
        <v>34.566800000000001</v>
      </c>
      <c r="M33" s="217"/>
    </row>
    <row r="34" spans="1:13">
      <c r="A34" s="118"/>
      <c r="B34" s="125">
        <v>30</v>
      </c>
      <c r="C34" s="126">
        <v>67338</v>
      </c>
      <c r="D34" s="126">
        <f t="shared" si="0"/>
        <v>10100.699999999999</v>
      </c>
      <c r="E34" s="127">
        <f t="shared" si="1"/>
        <v>57237.3</v>
      </c>
      <c r="F34" s="128">
        <f t="shared" si="2"/>
        <v>13.467600000000001</v>
      </c>
      <c r="G34" s="211"/>
      <c r="H34" s="125">
        <v>78</v>
      </c>
      <c r="I34" s="126">
        <v>175079</v>
      </c>
      <c r="J34" s="126">
        <f t="shared" si="3"/>
        <v>26261.85</v>
      </c>
      <c r="K34" s="127">
        <f t="shared" si="4"/>
        <v>148817.15</v>
      </c>
      <c r="L34" s="128">
        <f t="shared" si="5"/>
        <v>35.015800000000006</v>
      </c>
      <c r="M34" s="217"/>
    </row>
    <row r="35" spans="1:13">
      <c r="A35" s="118"/>
      <c r="B35" s="125">
        <v>31</v>
      </c>
      <c r="C35" s="126">
        <v>69583</v>
      </c>
      <c r="D35" s="126">
        <f t="shared" si="0"/>
        <v>10437.449999999999</v>
      </c>
      <c r="E35" s="127">
        <f t="shared" si="1"/>
        <v>59145.55</v>
      </c>
      <c r="F35" s="128">
        <f t="shared" si="2"/>
        <v>13.916600000000001</v>
      </c>
      <c r="G35" s="211"/>
      <c r="H35" s="125">
        <v>79</v>
      </c>
      <c r="I35" s="126">
        <v>177323</v>
      </c>
      <c r="J35" s="126">
        <f t="shared" si="3"/>
        <v>26598.45</v>
      </c>
      <c r="K35" s="127">
        <f t="shared" si="4"/>
        <v>150724.54999999999</v>
      </c>
      <c r="L35" s="128">
        <f t="shared" si="5"/>
        <v>35.464599999999997</v>
      </c>
      <c r="M35" s="217"/>
    </row>
    <row r="36" spans="1:13">
      <c r="A36" s="118"/>
      <c r="B36" s="125">
        <v>32</v>
      </c>
      <c r="C36" s="126">
        <v>71827</v>
      </c>
      <c r="D36" s="126">
        <f t="shared" si="0"/>
        <v>10774.05</v>
      </c>
      <c r="E36" s="127">
        <f t="shared" si="1"/>
        <v>61052.95</v>
      </c>
      <c r="F36" s="128">
        <f t="shared" si="2"/>
        <v>14.365399999999999</v>
      </c>
      <c r="G36" s="211"/>
      <c r="H36" s="125">
        <v>80</v>
      </c>
      <c r="I36" s="126">
        <v>179568</v>
      </c>
      <c r="J36" s="126">
        <f t="shared" si="3"/>
        <v>26935.200000000001</v>
      </c>
      <c r="K36" s="127">
        <f t="shared" si="4"/>
        <v>152632.79999999999</v>
      </c>
      <c r="L36" s="128">
        <f t="shared" si="5"/>
        <v>35.913599999999995</v>
      </c>
      <c r="M36" s="218"/>
    </row>
    <row r="37" spans="1:13">
      <c r="A37" s="118"/>
      <c r="B37" s="125">
        <v>33</v>
      </c>
      <c r="C37" s="126">
        <v>74072</v>
      </c>
      <c r="D37" s="126">
        <f t="shared" si="0"/>
        <v>11110.8</v>
      </c>
      <c r="E37" s="127">
        <f t="shared" si="1"/>
        <v>62961.2</v>
      </c>
      <c r="F37" s="128">
        <f t="shared" si="2"/>
        <v>14.814399999999999</v>
      </c>
      <c r="G37" s="211">
        <v>3</v>
      </c>
      <c r="H37" s="212" t="s">
        <v>198</v>
      </c>
      <c r="I37" s="213"/>
      <c r="J37" s="213"/>
      <c r="K37" s="213"/>
      <c r="L37" s="213"/>
      <c r="M37" s="213"/>
    </row>
    <row r="38" spans="1:13">
      <c r="A38" s="118"/>
      <c r="B38" s="125">
        <v>34</v>
      </c>
      <c r="C38" s="126">
        <v>76316</v>
      </c>
      <c r="D38" s="126">
        <f t="shared" si="0"/>
        <v>11447.4</v>
      </c>
      <c r="E38" s="127">
        <f t="shared" si="1"/>
        <v>64868.6</v>
      </c>
      <c r="F38" s="128">
        <f t="shared" si="2"/>
        <v>15.263200000000001</v>
      </c>
      <c r="G38" s="211"/>
      <c r="H38" s="213"/>
      <c r="I38" s="213"/>
      <c r="J38" s="213"/>
      <c r="K38" s="213"/>
      <c r="L38" s="213"/>
      <c r="M38" s="213"/>
    </row>
    <row r="39" spans="1:13">
      <c r="A39" s="118"/>
      <c r="B39" s="125">
        <v>35</v>
      </c>
      <c r="C39" s="126">
        <v>78561</v>
      </c>
      <c r="D39" s="126">
        <f t="shared" si="0"/>
        <v>11784.15</v>
      </c>
      <c r="E39" s="127">
        <f t="shared" si="1"/>
        <v>66776.850000000006</v>
      </c>
      <c r="F39" s="128">
        <f t="shared" si="2"/>
        <v>15.712200000000001</v>
      </c>
      <c r="G39" s="211"/>
      <c r="H39" s="213"/>
      <c r="I39" s="213"/>
      <c r="J39" s="213"/>
      <c r="K39" s="213"/>
      <c r="L39" s="213"/>
      <c r="M39" s="213"/>
    </row>
    <row r="40" spans="1:13">
      <c r="A40" s="118"/>
      <c r="B40" s="125">
        <v>36</v>
      </c>
      <c r="C40" s="126">
        <v>80806</v>
      </c>
      <c r="D40" s="126">
        <f t="shared" si="0"/>
        <v>12120.9</v>
      </c>
      <c r="E40" s="127">
        <f t="shared" si="1"/>
        <v>68685.100000000006</v>
      </c>
      <c r="F40" s="128">
        <f t="shared" si="2"/>
        <v>16.161200000000001</v>
      </c>
      <c r="G40" s="211"/>
      <c r="H40" s="213"/>
      <c r="I40" s="213"/>
      <c r="J40" s="213"/>
      <c r="K40" s="213"/>
      <c r="L40" s="213"/>
      <c r="M40" s="213"/>
    </row>
    <row r="41" spans="1:13">
      <c r="A41" s="118"/>
      <c r="B41" s="125">
        <v>37</v>
      </c>
      <c r="C41" s="126">
        <v>83050</v>
      </c>
      <c r="D41" s="126">
        <f t="shared" si="0"/>
        <v>12457.5</v>
      </c>
      <c r="E41" s="127">
        <f t="shared" si="1"/>
        <v>70592.5</v>
      </c>
      <c r="F41" s="128">
        <f t="shared" si="2"/>
        <v>16.61</v>
      </c>
      <c r="G41" s="211"/>
      <c r="H41" s="213"/>
      <c r="I41" s="213"/>
      <c r="J41" s="213"/>
      <c r="K41" s="213"/>
      <c r="L41" s="213"/>
      <c r="M41" s="213"/>
    </row>
    <row r="42" spans="1:13">
      <c r="A42" s="118"/>
      <c r="B42" s="125">
        <v>38</v>
      </c>
      <c r="C42" s="126">
        <v>85295</v>
      </c>
      <c r="D42" s="126">
        <f t="shared" si="0"/>
        <v>12794.25</v>
      </c>
      <c r="E42" s="127">
        <f t="shared" si="1"/>
        <v>72500.75</v>
      </c>
      <c r="F42" s="128">
        <f t="shared" si="2"/>
        <v>17.059000000000001</v>
      </c>
      <c r="G42" s="211"/>
      <c r="H42" s="213"/>
      <c r="I42" s="213"/>
      <c r="J42" s="213"/>
      <c r="K42" s="213"/>
      <c r="L42" s="213"/>
      <c r="M42" s="213"/>
    </row>
    <row r="43" spans="1:13">
      <c r="A43" s="118"/>
      <c r="B43" s="125">
        <v>39</v>
      </c>
      <c r="C43" s="126">
        <v>87539</v>
      </c>
      <c r="D43" s="126">
        <f t="shared" si="0"/>
        <v>13130.85</v>
      </c>
      <c r="E43" s="127">
        <f t="shared" si="1"/>
        <v>74408.149999999994</v>
      </c>
      <c r="F43" s="128">
        <f t="shared" si="2"/>
        <v>17.5078</v>
      </c>
      <c r="G43" s="211"/>
      <c r="H43" s="213"/>
      <c r="I43" s="213"/>
      <c r="J43" s="213"/>
      <c r="K43" s="213"/>
      <c r="L43" s="213"/>
      <c r="M43" s="213"/>
    </row>
    <row r="44" spans="1:13">
      <c r="A44" s="118"/>
      <c r="B44" s="125">
        <v>40</v>
      </c>
      <c r="C44" s="126">
        <v>89784</v>
      </c>
      <c r="D44" s="126">
        <f t="shared" si="0"/>
        <v>13467.6</v>
      </c>
      <c r="E44" s="127">
        <f t="shared" si="1"/>
        <v>76316.399999999994</v>
      </c>
      <c r="F44" s="128">
        <f t="shared" si="2"/>
        <v>17.956799999999998</v>
      </c>
      <c r="G44" s="211"/>
      <c r="H44" s="213"/>
      <c r="I44" s="213"/>
      <c r="J44" s="213"/>
      <c r="K44" s="213"/>
      <c r="L44" s="213"/>
      <c r="M44" s="213"/>
    </row>
    <row r="45" spans="1:13">
      <c r="A45" s="118"/>
      <c r="B45" s="125">
        <v>41</v>
      </c>
      <c r="C45" s="126">
        <v>92029</v>
      </c>
      <c r="D45" s="126">
        <f t="shared" si="0"/>
        <v>13804.35</v>
      </c>
      <c r="E45" s="127">
        <f t="shared" si="1"/>
        <v>78224.649999999994</v>
      </c>
      <c r="F45" s="128">
        <f t="shared" si="2"/>
        <v>18.405799999999999</v>
      </c>
      <c r="G45" s="211"/>
      <c r="H45" s="213"/>
      <c r="I45" s="213"/>
      <c r="J45" s="213"/>
      <c r="K45" s="213"/>
      <c r="L45" s="213"/>
      <c r="M45" s="213"/>
    </row>
    <row r="46" spans="1:13">
      <c r="A46" s="118"/>
      <c r="B46" s="125">
        <v>42</v>
      </c>
      <c r="C46" s="126">
        <v>94273</v>
      </c>
      <c r="D46" s="126">
        <f t="shared" si="0"/>
        <v>14140.949999999999</v>
      </c>
      <c r="E46" s="127">
        <f t="shared" si="1"/>
        <v>80132.05</v>
      </c>
      <c r="F46" s="128">
        <f t="shared" si="2"/>
        <v>18.854599999999998</v>
      </c>
      <c r="G46" s="211"/>
      <c r="H46" s="213"/>
      <c r="I46" s="213"/>
      <c r="J46" s="213"/>
      <c r="K46" s="213"/>
      <c r="L46" s="213"/>
      <c r="M46" s="213"/>
    </row>
    <row r="47" spans="1:13">
      <c r="A47" s="118"/>
      <c r="B47" s="125">
        <v>43</v>
      </c>
      <c r="C47" s="126">
        <v>96518</v>
      </c>
      <c r="D47" s="126">
        <f t="shared" si="0"/>
        <v>14477.699999999999</v>
      </c>
      <c r="E47" s="127">
        <f t="shared" si="1"/>
        <v>82040.3</v>
      </c>
      <c r="F47" s="128">
        <f t="shared" si="2"/>
        <v>19.303599999999999</v>
      </c>
      <c r="G47" s="211"/>
      <c r="H47" s="213"/>
      <c r="I47" s="213"/>
      <c r="J47" s="213"/>
      <c r="K47" s="213"/>
      <c r="L47" s="213"/>
      <c r="M47" s="213"/>
    </row>
    <row r="48" spans="1:13">
      <c r="A48" s="118"/>
      <c r="B48" s="125">
        <v>44</v>
      </c>
      <c r="C48" s="126">
        <v>98762</v>
      </c>
      <c r="D48" s="126">
        <f t="shared" si="0"/>
        <v>14814.3</v>
      </c>
      <c r="E48" s="127">
        <f t="shared" si="1"/>
        <v>83947.7</v>
      </c>
      <c r="F48" s="128">
        <f t="shared" si="2"/>
        <v>19.752400000000002</v>
      </c>
      <c r="G48" s="211"/>
      <c r="H48" s="213"/>
      <c r="I48" s="213"/>
      <c r="J48" s="213"/>
      <c r="K48" s="213"/>
      <c r="L48" s="213"/>
      <c r="M48" s="213"/>
    </row>
    <row r="49" spans="1:13">
      <c r="A49" s="118"/>
      <c r="B49" s="125">
        <v>45</v>
      </c>
      <c r="C49" s="126">
        <v>101007</v>
      </c>
      <c r="D49" s="126">
        <f t="shared" si="0"/>
        <v>15151.05</v>
      </c>
      <c r="E49" s="127">
        <f t="shared" si="1"/>
        <v>85855.95</v>
      </c>
      <c r="F49" s="128">
        <f t="shared" si="2"/>
        <v>20.201400000000003</v>
      </c>
      <c r="G49" s="211"/>
      <c r="H49" s="213"/>
      <c r="I49" s="213"/>
      <c r="J49" s="213"/>
      <c r="K49" s="213"/>
      <c r="L49" s="213"/>
      <c r="M49" s="213"/>
    </row>
    <row r="50" spans="1:13">
      <c r="A50" s="118"/>
      <c r="B50" s="125">
        <v>46</v>
      </c>
      <c r="C50" s="126">
        <v>103252</v>
      </c>
      <c r="D50" s="126">
        <f t="shared" si="0"/>
        <v>15487.8</v>
      </c>
      <c r="E50" s="127">
        <f t="shared" si="1"/>
        <v>87764.2</v>
      </c>
      <c r="F50" s="128">
        <f t="shared" si="2"/>
        <v>20.650400000000001</v>
      </c>
      <c r="G50" s="211"/>
      <c r="H50" s="213"/>
      <c r="I50" s="213"/>
      <c r="J50" s="213"/>
      <c r="K50" s="213"/>
      <c r="L50" s="213"/>
      <c r="M50" s="213"/>
    </row>
    <row r="51" spans="1:13">
      <c r="A51" s="118"/>
      <c r="B51" s="125">
        <v>47</v>
      </c>
      <c r="C51" s="126">
        <v>105496</v>
      </c>
      <c r="D51" s="126">
        <f t="shared" si="0"/>
        <v>15824.4</v>
      </c>
      <c r="E51" s="127">
        <f t="shared" si="1"/>
        <v>89671.6</v>
      </c>
      <c r="F51" s="128">
        <f t="shared" si="2"/>
        <v>21.0992</v>
      </c>
      <c r="G51" s="211"/>
      <c r="H51" s="213"/>
      <c r="I51" s="213"/>
      <c r="J51" s="213"/>
      <c r="K51" s="213"/>
      <c r="L51" s="213"/>
      <c r="M51" s="213"/>
    </row>
    <row r="52" spans="1:13">
      <c r="A52" s="118"/>
      <c r="B52" s="125">
        <v>48</v>
      </c>
      <c r="C52" s="126">
        <v>107741</v>
      </c>
      <c r="D52" s="126">
        <f t="shared" si="0"/>
        <v>16161.15</v>
      </c>
      <c r="E52" s="127">
        <f t="shared" si="1"/>
        <v>91579.85</v>
      </c>
      <c r="F52" s="128">
        <f t="shared" si="2"/>
        <v>21.548200000000001</v>
      </c>
      <c r="G52" s="211"/>
      <c r="H52" s="213"/>
      <c r="I52" s="213"/>
      <c r="J52" s="213"/>
      <c r="K52" s="213"/>
      <c r="L52" s="213"/>
      <c r="M52" s="213"/>
    </row>
  </sheetData>
  <mergeCells count="9">
    <mergeCell ref="G37:G52"/>
    <mergeCell ref="H37:M52"/>
    <mergeCell ref="B3:C3"/>
    <mergeCell ref="H3:I3"/>
    <mergeCell ref="J3:M3"/>
    <mergeCell ref="G5:G20"/>
    <mergeCell ref="M5:M20"/>
    <mergeCell ref="G21:G36"/>
    <mergeCell ref="M21:M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2EEDD-1A30-493D-B99E-D230B056A833}">
  <sheetPr codeName="Sheet5">
    <pageSetUpPr fitToPage="1"/>
  </sheetPr>
  <dimension ref="C1:Y41"/>
  <sheetViews>
    <sheetView zoomScale="85" zoomScaleNormal="85" workbookViewId="0">
      <selection activeCell="N35" sqref="N35"/>
    </sheetView>
  </sheetViews>
  <sheetFormatPr defaultRowHeight="13.5"/>
  <cols>
    <col min="1" max="1" width="2.125" style="30" customWidth="1"/>
    <col min="2" max="2" width="2.375" style="30" customWidth="1"/>
    <col min="3" max="3" width="12.25" style="31" customWidth="1"/>
    <col min="4" max="4" width="23" style="31" customWidth="1"/>
    <col min="5" max="12" width="12.875" style="31" customWidth="1"/>
    <col min="13" max="13" width="19" style="30" customWidth="1"/>
    <col min="14" max="15" width="9.75" style="30" customWidth="1"/>
    <col min="16" max="249" width="9" style="30"/>
    <col min="250" max="250" width="2.125" style="30" customWidth="1"/>
    <col min="251" max="251" width="13" style="30" customWidth="1"/>
    <col min="252" max="252" width="7.5" style="30" customWidth="1"/>
    <col min="253" max="253" width="7.625" style="30" customWidth="1"/>
    <col min="254" max="258" width="9.75" style="30" customWidth="1"/>
    <col min="259" max="259" width="8" style="30" customWidth="1"/>
    <col min="260" max="260" width="5.375" style="30" customWidth="1"/>
    <col min="261" max="261" width="9" style="30"/>
    <col min="262" max="262" width="10.25" style="30" customWidth="1"/>
    <col min="263" max="263" width="11.25" style="30" customWidth="1"/>
    <col min="264" max="266" width="9.125" style="30" bestFit="1" customWidth="1"/>
    <col min="267" max="267" width="9.25" style="30" bestFit="1" customWidth="1"/>
    <col min="268" max="268" width="9.125" style="30" bestFit="1" customWidth="1"/>
    <col min="269" max="269" width="9.25" style="30" bestFit="1" customWidth="1"/>
    <col min="270" max="505" width="9" style="30"/>
    <col min="506" max="506" width="2.125" style="30" customWidth="1"/>
    <col min="507" max="507" width="13" style="30" customWidth="1"/>
    <col min="508" max="508" width="7.5" style="30" customWidth="1"/>
    <col min="509" max="509" width="7.625" style="30" customWidth="1"/>
    <col min="510" max="514" width="9.75" style="30" customWidth="1"/>
    <col min="515" max="515" width="8" style="30" customWidth="1"/>
    <col min="516" max="516" width="5.375" style="30" customWidth="1"/>
    <col min="517" max="517" width="9" style="30"/>
    <col min="518" max="518" width="10.25" style="30" customWidth="1"/>
    <col min="519" max="519" width="11.25" style="30" customWidth="1"/>
    <col min="520" max="522" width="9.125" style="30" bestFit="1" customWidth="1"/>
    <col min="523" max="523" width="9.25" style="30" bestFit="1" customWidth="1"/>
    <col min="524" max="524" width="9.125" style="30" bestFit="1" customWidth="1"/>
    <col min="525" max="525" width="9.25" style="30" bestFit="1" customWidth="1"/>
    <col min="526" max="761" width="9" style="30"/>
    <col min="762" max="762" width="2.125" style="30" customWidth="1"/>
    <col min="763" max="763" width="13" style="30" customWidth="1"/>
    <col min="764" max="764" width="7.5" style="30" customWidth="1"/>
    <col min="765" max="765" width="7.625" style="30" customWidth="1"/>
    <col min="766" max="770" width="9.75" style="30" customWidth="1"/>
    <col min="771" max="771" width="8" style="30" customWidth="1"/>
    <col min="772" max="772" width="5.375" style="30" customWidth="1"/>
    <col min="773" max="773" width="9" style="30"/>
    <col min="774" max="774" width="10.25" style="30" customWidth="1"/>
    <col min="775" max="775" width="11.25" style="30" customWidth="1"/>
    <col min="776" max="778" width="9.125" style="30" bestFit="1" customWidth="1"/>
    <col min="779" max="779" width="9.25" style="30" bestFit="1" customWidth="1"/>
    <col min="780" max="780" width="9.125" style="30" bestFit="1" customWidth="1"/>
    <col min="781" max="781" width="9.25" style="30" bestFit="1" customWidth="1"/>
    <col min="782" max="1017" width="9" style="30"/>
    <col min="1018" max="1018" width="2.125" style="30" customWidth="1"/>
    <col min="1019" max="1019" width="13" style="30" customWidth="1"/>
    <col min="1020" max="1020" width="7.5" style="30" customWidth="1"/>
    <col min="1021" max="1021" width="7.625" style="30" customWidth="1"/>
    <col min="1022" max="1026" width="9.75" style="30" customWidth="1"/>
    <col min="1027" max="1027" width="8" style="30" customWidth="1"/>
    <col min="1028" max="1028" width="5.375" style="30" customWidth="1"/>
    <col min="1029" max="1029" width="9" style="30"/>
    <col min="1030" max="1030" width="10.25" style="30" customWidth="1"/>
    <col min="1031" max="1031" width="11.25" style="30" customWidth="1"/>
    <col min="1032" max="1034" width="9.125" style="30" bestFit="1" customWidth="1"/>
    <col min="1035" max="1035" width="9.25" style="30" bestFit="1" customWidth="1"/>
    <col min="1036" max="1036" width="9.125" style="30" bestFit="1" customWidth="1"/>
    <col min="1037" max="1037" width="9.25" style="30" bestFit="1" customWidth="1"/>
    <col min="1038" max="1273" width="9" style="30"/>
    <col min="1274" max="1274" width="2.125" style="30" customWidth="1"/>
    <col min="1275" max="1275" width="13" style="30" customWidth="1"/>
    <col min="1276" max="1276" width="7.5" style="30" customWidth="1"/>
    <col min="1277" max="1277" width="7.625" style="30" customWidth="1"/>
    <col min="1278" max="1282" width="9.75" style="30" customWidth="1"/>
    <col min="1283" max="1283" width="8" style="30" customWidth="1"/>
    <col min="1284" max="1284" width="5.375" style="30" customWidth="1"/>
    <col min="1285" max="1285" width="9" style="30"/>
    <col min="1286" max="1286" width="10.25" style="30" customWidth="1"/>
    <col min="1287" max="1287" width="11.25" style="30" customWidth="1"/>
    <col min="1288" max="1290" width="9.125" style="30" bestFit="1" customWidth="1"/>
    <col min="1291" max="1291" width="9.25" style="30" bestFit="1" customWidth="1"/>
    <col min="1292" max="1292" width="9.125" style="30" bestFit="1" customWidth="1"/>
    <col min="1293" max="1293" width="9.25" style="30" bestFit="1" customWidth="1"/>
    <col min="1294" max="1529" width="9" style="30"/>
    <col min="1530" max="1530" width="2.125" style="30" customWidth="1"/>
    <col min="1531" max="1531" width="13" style="30" customWidth="1"/>
    <col min="1532" max="1532" width="7.5" style="30" customWidth="1"/>
    <col min="1533" max="1533" width="7.625" style="30" customWidth="1"/>
    <col min="1534" max="1538" width="9.75" style="30" customWidth="1"/>
    <col min="1539" max="1539" width="8" style="30" customWidth="1"/>
    <col min="1540" max="1540" width="5.375" style="30" customWidth="1"/>
    <col min="1541" max="1541" width="9" style="30"/>
    <col min="1542" max="1542" width="10.25" style="30" customWidth="1"/>
    <col min="1543" max="1543" width="11.25" style="30" customWidth="1"/>
    <col min="1544" max="1546" width="9.125" style="30" bestFit="1" customWidth="1"/>
    <col min="1547" max="1547" width="9.25" style="30" bestFit="1" customWidth="1"/>
    <col min="1548" max="1548" width="9.125" style="30" bestFit="1" customWidth="1"/>
    <col min="1549" max="1549" width="9.25" style="30" bestFit="1" customWidth="1"/>
    <col min="1550" max="1785" width="9" style="30"/>
    <col min="1786" max="1786" width="2.125" style="30" customWidth="1"/>
    <col min="1787" max="1787" width="13" style="30" customWidth="1"/>
    <col min="1788" max="1788" width="7.5" style="30" customWidth="1"/>
    <col min="1789" max="1789" width="7.625" style="30" customWidth="1"/>
    <col min="1790" max="1794" width="9.75" style="30" customWidth="1"/>
    <col min="1795" max="1795" width="8" style="30" customWidth="1"/>
    <col min="1796" max="1796" width="5.375" style="30" customWidth="1"/>
    <col min="1797" max="1797" width="9" style="30"/>
    <col min="1798" max="1798" width="10.25" style="30" customWidth="1"/>
    <col min="1799" max="1799" width="11.25" style="30" customWidth="1"/>
    <col min="1800" max="1802" width="9.125" style="30" bestFit="1" customWidth="1"/>
    <col min="1803" max="1803" width="9.25" style="30" bestFit="1" customWidth="1"/>
    <col min="1804" max="1804" width="9.125" style="30" bestFit="1" customWidth="1"/>
    <col min="1805" max="1805" width="9.25" style="30" bestFit="1" customWidth="1"/>
    <col min="1806" max="2041" width="9" style="30"/>
    <col min="2042" max="2042" width="2.125" style="30" customWidth="1"/>
    <col min="2043" max="2043" width="13" style="30" customWidth="1"/>
    <col min="2044" max="2044" width="7.5" style="30" customWidth="1"/>
    <col min="2045" max="2045" width="7.625" style="30" customWidth="1"/>
    <col min="2046" max="2050" width="9.75" style="30" customWidth="1"/>
    <col min="2051" max="2051" width="8" style="30" customWidth="1"/>
    <col min="2052" max="2052" width="5.375" style="30" customWidth="1"/>
    <col min="2053" max="2053" width="9" style="30"/>
    <col min="2054" max="2054" width="10.25" style="30" customWidth="1"/>
    <col min="2055" max="2055" width="11.25" style="30" customWidth="1"/>
    <col min="2056" max="2058" width="9.125" style="30" bestFit="1" customWidth="1"/>
    <col min="2059" max="2059" width="9.25" style="30" bestFit="1" customWidth="1"/>
    <col min="2060" max="2060" width="9.125" style="30" bestFit="1" customWidth="1"/>
    <col min="2061" max="2061" width="9.25" style="30" bestFit="1" customWidth="1"/>
    <col min="2062" max="2297" width="9" style="30"/>
    <col min="2298" max="2298" width="2.125" style="30" customWidth="1"/>
    <col min="2299" max="2299" width="13" style="30" customWidth="1"/>
    <col min="2300" max="2300" width="7.5" style="30" customWidth="1"/>
    <col min="2301" max="2301" width="7.625" style="30" customWidth="1"/>
    <col min="2302" max="2306" width="9.75" style="30" customWidth="1"/>
    <col min="2307" max="2307" width="8" style="30" customWidth="1"/>
    <col min="2308" max="2308" width="5.375" style="30" customWidth="1"/>
    <col min="2309" max="2309" width="9" style="30"/>
    <col min="2310" max="2310" width="10.25" style="30" customWidth="1"/>
    <col min="2311" max="2311" width="11.25" style="30" customWidth="1"/>
    <col min="2312" max="2314" width="9.125" style="30" bestFit="1" customWidth="1"/>
    <col min="2315" max="2315" width="9.25" style="30" bestFit="1" customWidth="1"/>
    <col min="2316" max="2316" width="9.125" style="30" bestFit="1" customWidth="1"/>
    <col min="2317" max="2317" width="9.25" style="30" bestFit="1" customWidth="1"/>
    <col min="2318" max="2553" width="9" style="30"/>
    <col min="2554" max="2554" width="2.125" style="30" customWidth="1"/>
    <col min="2555" max="2555" width="13" style="30" customWidth="1"/>
    <col min="2556" max="2556" width="7.5" style="30" customWidth="1"/>
    <col min="2557" max="2557" width="7.625" style="30" customWidth="1"/>
    <col min="2558" max="2562" width="9.75" style="30" customWidth="1"/>
    <col min="2563" max="2563" width="8" style="30" customWidth="1"/>
    <col min="2564" max="2564" width="5.375" style="30" customWidth="1"/>
    <col min="2565" max="2565" width="9" style="30"/>
    <col min="2566" max="2566" width="10.25" style="30" customWidth="1"/>
    <col min="2567" max="2567" width="11.25" style="30" customWidth="1"/>
    <col min="2568" max="2570" width="9.125" style="30" bestFit="1" customWidth="1"/>
    <col min="2571" max="2571" width="9.25" style="30" bestFit="1" customWidth="1"/>
    <col min="2572" max="2572" width="9.125" style="30" bestFit="1" customWidth="1"/>
    <col min="2573" max="2573" width="9.25" style="30" bestFit="1" customWidth="1"/>
    <col min="2574" max="2809" width="9" style="30"/>
    <col min="2810" max="2810" width="2.125" style="30" customWidth="1"/>
    <col min="2811" max="2811" width="13" style="30" customWidth="1"/>
    <col min="2812" max="2812" width="7.5" style="30" customWidth="1"/>
    <col min="2813" max="2813" width="7.625" style="30" customWidth="1"/>
    <col min="2814" max="2818" width="9.75" style="30" customWidth="1"/>
    <col min="2819" max="2819" width="8" style="30" customWidth="1"/>
    <col min="2820" max="2820" width="5.375" style="30" customWidth="1"/>
    <col min="2821" max="2821" width="9" style="30"/>
    <col min="2822" max="2822" width="10.25" style="30" customWidth="1"/>
    <col min="2823" max="2823" width="11.25" style="30" customWidth="1"/>
    <col min="2824" max="2826" width="9.125" style="30" bestFit="1" customWidth="1"/>
    <col min="2827" max="2827" width="9.25" style="30" bestFit="1" customWidth="1"/>
    <col min="2828" max="2828" width="9.125" style="30" bestFit="1" customWidth="1"/>
    <col min="2829" max="2829" width="9.25" style="30" bestFit="1" customWidth="1"/>
    <col min="2830" max="3065" width="9" style="30"/>
    <col min="3066" max="3066" width="2.125" style="30" customWidth="1"/>
    <col min="3067" max="3067" width="13" style="30" customWidth="1"/>
    <col min="3068" max="3068" width="7.5" style="30" customWidth="1"/>
    <col min="3069" max="3069" width="7.625" style="30" customWidth="1"/>
    <col min="3070" max="3074" width="9.75" style="30" customWidth="1"/>
    <col min="3075" max="3075" width="8" style="30" customWidth="1"/>
    <col min="3076" max="3076" width="5.375" style="30" customWidth="1"/>
    <col min="3077" max="3077" width="9" style="30"/>
    <col min="3078" max="3078" width="10.25" style="30" customWidth="1"/>
    <col min="3079" max="3079" width="11.25" style="30" customWidth="1"/>
    <col min="3080" max="3082" width="9.125" style="30" bestFit="1" customWidth="1"/>
    <col min="3083" max="3083" width="9.25" style="30" bestFit="1" customWidth="1"/>
    <col min="3084" max="3084" width="9.125" style="30" bestFit="1" customWidth="1"/>
    <col min="3085" max="3085" width="9.25" style="30" bestFit="1" customWidth="1"/>
    <col min="3086" max="3321" width="9" style="30"/>
    <col min="3322" max="3322" width="2.125" style="30" customWidth="1"/>
    <col min="3323" max="3323" width="13" style="30" customWidth="1"/>
    <col min="3324" max="3324" width="7.5" style="30" customWidth="1"/>
    <col min="3325" max="3325" width="7.625" style="30" customWidth="1"/>
    <col min="3326" max="3330" width="9.75" style="30" customWidth="1"/>
    <col min="3331" max="3331" width="8" style="30" customWidth="1"/>
    <col min="3332" max="3332" width="5.375" style="30" customWidth="1"/>
    <col min="3333" max="3333" width="9" style="30"/>
    <col min="3334" max="3334" width="10.25" style="30" customWidth="1"/>
    <col min="3335" max="3335" width="11.25" style="30" customWidth="1"/>
    <col min="3336" max="3338" width="9.125" style="30" bestFit="1" customWidth="1"/>
    <col min="3339" max="3339" width="9.25" style="30" bestFit="1" customWidth="1"/>
    <col min="3340" max="3340" width="9.125" style="30" bestFit="1" customWidth="1"/>
    <col min="3341" max="3341" width="9.25" style="30" bestFit="1" customWidth="1"/>
    <col min="3342" max="3577" width="9" style="30"/>
    <col min="3578" max="3578" width="2.125" style="30" customWidth="1"/>
    <col min="3579" max="3579" width="13" style="30" customWidth="1"/>
    <col min="3580" max="3580" width="7.5" style="30" customWidth="1"/>
    <col min="3581" max="3581" width="7.625" style="30" customWidth="1"/>
    <col min="3582" max="3586" width="9.75" style="30" customWidth="1"/>
    <col min="3587" max="3587" width="8" style="30" customWidth="1"/>
    <col min="3588" max="3588" width="5.375" style="30" customWidth="1"/>
    <col min="3589" max="3589" width="9" style="30"/>
    <col min="3590" max="3590" width="10.25" style="30" customWidth="1"/>
    <col min="3591" max="3591" width="11.25" style="30" customWidth="1"/>
    <col min="3592" max="3594" width="9.125" style="30" bestFit="1" customWidth="1"/>
    <col min="3595" max="3595" width="9.25" style="30" bestFit="1" customWidth="1"/>
    <col min="3596" max="3596" width="9.125" style="30" bestFit="1" customWidth="1"/>
    <col min="3597" max="3597" width="9.25" style="30" bestFit="1" customWidth="1"/>
    <col min="3598" max="3833" width="9" style="30"/>
    <col min="3834" max="3834" width="2.125" style="30" customWidth="1"/>
    <col min="3835" max="3835" width="13" style="30" customWidth="1"/>
    <col min="3836" max="3836" width="7.5" style="30" customWidth="1"/>
    <col min="3837" max="3837" width="7.625" style="30" customWidth="1"/>
    <col min="3838" max="3842" width="9.75" style="30" customWidth="1"/>
    <col min="3843" max="3843" width="8" style="30" customWidth="1"/>
    <col min="3844" max="3844" width="5.375" style="30" customWidth="1"/>
    <col min="3845" max="3845" width="9" style="30"/>
    <col min="3846" max="3846" width="10.25" style="30" customWidth="1"/>
    <col min="3847" max="3847" width="11.25" style="30" customWidth="1"/>
    <col min="3848" max="3850" width="9.125" style="30" bestFit="1" customWidth="1"/>
    <col min="3851" max="3851" width="9.25" style="30" bestFit="1" customWidth="1"/>
    <col min="3852" max="3852" width="9.125" style="30" bestFit="1" customWidth="1"/>
    <col min="3853" max="3853" width="9.25" style="30" bestFit="1" customWidth="1"/>
    <col min="3854" max="4089" width="9" style="30"/>
    <col min="4090" max="4090" width="2.125" style="30" customWidth="1"/>
    <col min="4091" max="4091" width="13" style="30" customWidth="1"/>
    <col min="4092" max="4092" width="7.5" style="30" customWidth="1"/>
    <col min="4093" max="4093" width="7.625" style="30" customWidth="1"/>
    <col min="4094" max="4098" width="9.75" style="30" customWidth="1"/>
    <col min="4099" max="4099" width="8" style="30" customWidth="1"/>
    <col min="4100" max="4100" width="5.375" style="30" customWidth="1"/>
    <col min="4101" max="4101" width="9" style="30"/>
    <col min="4102" max="4102" width="10.25" style="30" customWidth="1"/>
    <col min="4103" max="4103" width="11.25" style="30" customWidth="1"/>
    <col min="4104" max="4106" width="9.125" style="30" bestFit="1" customWidth="1"/>
    <col min="4107" max="4107" width="9.25" style="30" bestFit="1" customWidth="1"/>
    <col min="4108" max="4108" width="9.125" style="30" bestFit="1" customWidth="1"/>
    <col min="4109" max="4109" width="9.25" style="30" bestFit="1" customWidth="1"/>
    <col min="4110" max="4345" width="9" style="30"/>
    <col min="4346" max="4346" width="2.125" style="30" customWidth="1"/>
    <col min="4347" max="4347" width="13" style="30" customWidth="1"/>
    <col min="4348" max="4348" width="7.5" style="30" customWidth="1"/>
    <col min="4349" max="4349" width="7.625" style="30" customWidth="1"/>
    <col min="4350" max="4354" width="9.75" style="30" customWidth="1"/>
    <col min="4355" max="4355" width="8" style="30" customWidth="1"/>
    <col min="4356" max="4356" width="5.375" style="30" customWidth="1"/>
    <col min="4357" max="4357" width="9" style="30"/>
    <col min="4358" max="4358" width="10.25" style="30" customWidth="1"/>
    <col min="4359" max="4359" width="11.25" style="30" customWidth="1"/>
    <col min="4360" max="4362" width="9.125" style="30" bestFit="1" customWidth="1"/>
    <col min="4363" max="4363" width="9.25" style="30" bestFit="1" customWidth="1"/>
    <col min="4364" max="4364" width="9.125" style="30" bestFit="1" customWidth="1"/>
    <col min="4365" max="4365" width="9.25" style="30" bestFit="1" customWidth="1"/>
    <col min="4366" max="4601" width="9" style="30"/>
    <col min="4602" max="4602" width="2.125" style="30" customWidth="1"/>
    <col min="4603" max="4603" width="13" style="30" customWidth="1"/>
    <col min="4604" max="4604" width="7.5" style="30" customWidth="1"/>
    <col min="4605" max="4605" width="7.625" style="30" customWidth="1"/>
    <col min="4606" max="4610" width="9.75" style="30" customWidth="1"/>
    <col min="4611" max="4611" width="8" style="30" customWidth="1"/>
    <col min="4612" max="4612" width="5.375" style="30" customWidth="1"/>
    <col min="4613" max="4613" width="9" style="30"/>
    <col min="4614" max="4614" width="10.25" style="30" customWidth="1"/>
    <col min="4615" max="4615" width="11.25" style="30" customWidth="1"/>
    <col min="4616" max="4618" width="9.125" style="30" bestFit="1" customWidth="1"/>
    <col min="4619" max="4619" width="9.25" style="30" bestFit="1" customWidth="1"/>
    <col min="4620" max="4620" width="9.125" style="30" bestFit="1" customWidth="1"/>
    <col min="4621" max="4621" width="9.25" style="30" bestFit="1" customWidth="1"/>
    <col min="4622" max="4857" width="9" style="30"/>
    <col min="4858" max="4858" width="2.125" style="30" customWidth="1"/>
    <col min="4859" max="4859" width="13" style="30" customWidth="1"/>
    <col min="4860" max="4860" width="7.5" style="30" customWidth="1"/>
    <col min="4861" max="4861" width="7.625" style="30" customWidth="1"/>
    <col min="4862" max="4866" width="9.75" style="30" customWidth="1"/>
    <col min="4867" max="4867" width="8" style="30" customWidth="1"/>
    <col min="4868" max="4868" width="5.375" style="30" customWidth="1"/>
    <col min="4869" max="4869" width="9" style="30"/>
    <col min="4870" max="4870" width="10.25" style="30" customWidth="1"/>
    <col min="4871" max="4871" width="11.25" style="30" customWidth="1"/>
    <col min="4872" max="4874" width="9.125" style="30" bestFit="1" customWidth="1"/>
    <col min="4875" max="4875" width="9.25" style="30" bestFit="1" customWidth="1"/>
    <col min="4876" max="4876" width="9.125" style="30" bestFit="1" customWidth="1"/>
    <col min="4877" max="4877" width="9.25" style="30" bestFit="1" customWidth="1"/>
    <col min="4878" max="5113" width="9" style="30"/>
    <col min="5114" max="5114" width="2.125" style="30" customWidth="1"/>
    <col min="5115" max="5115" width="13" style="30" customWidth="1"/>
    <col min="5116" max="5116" width="7.5" style="30" customWidth="1"/>
    <col min="5117" max="5117" width="7.625" style="30" customWidth="1"/>
    <col min="5118" max="5122" width="9.75" style="30" customWidth="1"/>
    <col min="5123" max="5123" width="8" style="30" customWidth="1"/>
    <col min="5124" max="5124" width="5.375" style="30" customWidth="1"/>
    <col min="5125" max="5125" width="9" style="30"/>
    <col min="5126" max="5126" width="10.25" style="30" customWidth="1"/>
    <col min="5127" max="5127" width="11.25" style="30" customWidth="1"/>
    <col min="5128" max="5130" width="9.125" style="30" bestFit="1" customWidth="1"/>
    <col min="5131" max="5131" width="9.25" style="30" bestFit="1" customWidth="1"/>
    <col min="5132" max="5132" width="9.125" style="30" bestFit="1" customWidth="1"/>
    <col min="5133" max="5133" width="9.25" style="30" bestFit="1" customWidth="1"/>
    <col min="5134" max="5369" width="9" style="30"/>
    <col min="5370" max="5370" width="2.125" style="30" customWidth="1"/>
    <col min="5371" max="5371" width="13" style="30" customWidth="1"/>
    <col min="5372" max="5372" width="7.5" style="30" customWidth="1"/>
    <col min="5373" max="5373" width="7.625" style="30" customWidth="1"/>
    <col min="5374" max="5378" width="9.75" style="30" customWidth="1"/>
    <col min="5379" max="5379" width="8" style="30" customWidth="1"/>
    <col min="5380" max="5380" width="5.375" style="30" customWidth="1"/>
    <col min="5381" max="5381" width="9" style="30"/>
    <col min="5382" max="5382" width="10.25" style="30" customWidth="1"/>
    <col min="5383" max="5383" width="11.25" style="30" customWidth="1"/>
    <col min="5384" max="5386" width="9.125" style="30" bestFit="1" customWidth="1"/>
    <col min="5387" max="5387" width="9.25" style="30" bestFit="1" customWidth="1"/>
    <col min="5388" max="5388" width="9.125" style="30" bestFit="1" customWidth="1"/>
    <col min="5389" max="5389" width="9.25" style="30" bestFit="1" customWidth="1"/>
    <col min="5390" max="5625" width="9" style="30"/>
    <col min="5626" max="5626" width="2.125" style="30" customWidth="1"/>
    <col min="5627" max="5627" width="13" style="30" customWidth="1"/>
    <col min="5628" max="5628" width="7.5" style="30" customWidth="1"/>
    <col min="5629" max="5629" width="7.625" style="30" customWidth="1"/>
    <col min="5630" max="5634" width="9.75" style="30" customWidth="1"/>
    <col min="5635" max="5635" width="8" style="30" customWidth="1"/>
    <col min="5636" max="5636" width="5.375" style="30" customWidth="1"/>
    <col min="5637" max="5637" width="9" style="30"/>
    <col min="5638" max="5638" width="10.25" style="30" customWidth="1"/>
    <col min="5639" max="5639" width="11.25" style="30" customWidth="1"/>
    <col min="5640" max="5642" width="9.125" style="30" bestFit="1" customWidth="1"/>
    <col min="5643" max="5643" width="9.25" style="30" bestFit="1" customWidth="1"/>
    <col min="5644" max="5644" width="9.125" style="30" bestFit="1" customWidth="1"/>
    <col min="5645" max="5645" width="9.25" style="30" bestFit="1" customWidth="1"/>
    <col min="5646" max="5881" width="9" style="30"/>
    <col min="5882" max="5882" width="2.125" style="30" customWidth="1"/>
    <col min="5883" max="5883" width="13" style="30" customWidth="1"/>
    <col min="5884" max="5884" width="7.5" style="30" customWidth="1"/>
    <col min="5885" max="5885" width="7.625" style="30" customWidth="1"/>
    <col min="5886" max="5890" width="9.75" style="30" customWidth="1"/>
    <col min="5891" max="5891" width="8" style="30" customWidth="1"/>
    <col min="5892" max="5892" width="5.375" style="30" customWidth="1"/>
    <col min="5893" max="5893" width="9" style="30"/>
    <col min="5894" max="5894" width="10.25" style="30" customWidth="1"/>
    <col min="5895" max="5895" width="11.25" style="30" customWidth="1"/>
    <col min="5896" max="5898" width="9.125" style="30" bestFit="1" customWidth="1"/>
    <col min="5899" max="5899" width="9.25" style="30" bestFit="1" customWidth="1"/>
    <col min="5900" max="5900" width="9.125" style="30" bestFit="1" customWidth="1"/>
    <col min="5901" max="5901" width="9.25" style="30" bestFit="1" customWidth="1"/>
    <col min="5902" max="6137" width="9" style="30"/>
    <col min="6138" max="6138" width="2.125" style="30" customWidth="1"/>
    <col min="6139" max="6139" width="13" style="30" customWidth="1"/>
    <col min="6140" max="6140" width="7.5" style="30" customWidth="1"/>
    <col min="6141" max="6141" width="7.625" style="30" customWidth="1"/>
    <col min="6142" max="6146" width="9.75" style="30" customWidth="1"/>
    <col min="6147" max="6147" width="8" style="30" customWidth="1"/>
    <col min="6148" max="6148" width="5.375" style="30" customWidth="1"/>
    <col min="6149" max="6149" width="9" style="30"/>
    <col min="6150" max="6150" width="10.25" style="30" customWidth="1"/>
    <col min="6151" max="6151" width="11.25" style="30" customWidth="1"/>
    <col min="6152" max="6154" width="9.125" style="30" bestFit="1" customWidth="1"/>
    <col min="6155" max="6155" width="9.25" style="30" bestFit="1" customWidth="1"/>
    <col min="6156" max="6156" width="9.125" style="30" bestFit="1" customWidth="1"/>
    <col min="6157" max="6157" width="9.25" style="30" bestFit="1" customWidth="1"/>
    <col min="6158" max="6393" width="9" style="30"/>
    <col min="6394" max="6394" width="2.125" style="30" customWidth="1"/>
    <col min="6395" max="6395" width="13" style="30" customWidth="1"/>
    <col min="6396" max="6396" width="7.5" style="30" customWidth="1"/>
    <col min="6397" max="6397" width="7.625" style="30" customWidth="1"/>
    <col min="6398" max="6402" width="9.75" style="30" customWidth="1"/>
    <col min="6403" max="6403" width="8" style="30" customWidth="1"/>
    <col min="6404" max="6404" width="5.375" style="30" customWidth="1"/>
    <col min="6405" max="6405" width="9" style="30"/>
    <col min="6406" max="6406" width="10.25" style="30" customWidth="1"/>
    <col min="6407" max="6407" width="11.25" style="30" customWidth="1"/>
    <col min="6408" max="6410" width="9.125" style="30" bestFit="1" customWidth="1"/>
    <col min="6411" max="6411" width="9.25" style="30" bestFit="1" customWidth="1"/>
    <col min="6412" max="6412" width="9.125" style="30" bestFit="1" customWidth="1"/>
    <col min="6413" max="6413" width="9.25" style="30" bestFit="1" customWidth="1"/>
    <col min="6414" max="6649" width="9" style="30"/>
    <col min="6650" max="6650" width="2.125" style="30" customWidth="1"/>
    <col min="6651" max="6651" width="13" style="30" customWidth="1"/>
    <col min="6652" max="6652" width="7.5" style="30" customWidth="1"/>
    <col min="6653" max="6653" width="7.625" style="30" customWidth="1"/>
    <col min="6654" max="6658" width="9.75" style="30" customWidth="1"/>
    <col min="6659" max="6659" width="8" style="30" customWidth="1"/>
    <col min="6660" max="6660" width="5.375" style="30" customWidth="1"/>
    <col min="6661" max="6661" width="9" style="30"/>
    <col min="6662" max="6662" width="10.25" style="30" customWidth="1"/>
    <col min="6663" max="6663" width="11.25" style="30" customWidth="1"/>
    <col min="6664" max="6666" width="9.125" style="30" bestFit="1" customWidth="1"/>
    <col min="6667" max="6667" width="9.25" style="30" bestFit="1" customWidth="1"/>
    <col min="6668" max="6668" width="9.125" style="30" bestFit="1" customWidth="1"/>
    <col min="6669" max="6669" width="9.25" style="30" bestFit="1" customWidth="1"/>
    <col min="6670" max="6905" width="9" style="30"/>
    <col min="6906" max="6906" width="2.125" style="30" customWidth="1"/>
    <col min="6907" max="6907" width="13" style="30" customWidth="1"/>
    <col min="6908" max="6908" width="7.5" style="30" customWidth="1"/>
    <col min="6909" max="6909" width="7.625" style="30" customWidth="1"/>
    <col min="6910" max="6914" width="9.75" style="30" customWidth="1"/>
    <col min="6915" max="6915" width="8" style="30" customWidth="1"/>
    <col min="6916" max="6916" width="5.375" style="30" customWidth="1"/>
    <col min="6917" max="6917" width="9" style="30"/>
    <col min="6918" max="6918" width="10.25" style="30" customWidth="1"/>
    <col min="6919" max="6919" width="11.25" style="30" customWidth="1"/>
    <col min="6920" max="6922" width="9.125" style="30" bestFit="1" customWidth="1"/>
    <col min="6923" max="6923" width="9.25" style="30" bestFit="1" customWidth="1"/>
    <col min="6924" max="6924" width="9.125" style="30" bestFit="1" customWidth="1"/>
    <col min="6925" max="6925" width="9.25" style="30" bestFit="1" customWidth="1"/>
    <col min="6926" max="7161" width="9" style="30"/>
    <col min="7162" max="7162" width="2.125" style="30" customWidth="1"/>
    <col min="7163" max="7163" width="13" style="30" customWidth="1"/>
    <col min="7164" max="7164" width="7.5" style="30" customWidth="1"/>
    <col min="7165" max="7165" width="7.625" style="30" customWidth="1"/>
    <col min="7166" max="7170" width="9.75" style="30" customWidth="1"/>
    <col min="7171" max="7171" width="8" style="30" customWidth="1"/>
    <col min="7172" max="7172" width="5.375" style="30" customWidth="1"/>
    <col min="7173" max="7173" width="9" style="30"/>
    <col min="7174" max="7174" width="10.25" style="30" customWidth="1"/>
    <col min="7175" max="7175" width="11.25" style="30" customWidth="1"/>
    <col min="7176" max="7178" width="9.125" style="30" bestFit="1" customWidth="1"/>
    <col min="7179" max="7179" width="9.25" style="30" bestFit="1" customWidth="1"/>
    <col min="7180" max="7180" width="9.125" style="30" bestFit="1" customWidth="1"/>
    <col min="7181" max="7181" width="9.25" style="30" bestFit="1" customWidth="1"/>
    <col min="7182" max="7417" width="9" style="30"/>
    <col min="7418" max="7418" width="2.125" style="30" customWidth="1"/>
    <col min="7419" max="7419" width="13" style="30" customWidth="1"/>
    <col min="7420" max="7420" width="7.5" style="30" customWidth="1"/>
    <col min="7421" max="7421" width="7.625" style="30" customWidth="1"/>
    <col min="7422" max="7426" width="9.75" style="30" customWidth="1"/>
    <col min="7427" max="7427" width="8" style="30" customWidth="1"/>
    <col min="7428" max="7428" width="5.375" style="30" customWidth="1"/>
    <col min="7429" max="7429" width="9" style="30"/>
    <col min="7430" max="7430" width="10.25" style="30" customWidth="1"/>
    <col min="7431" max="7431" width="11.25" style="30" customWidth="1"/>
    <col min="7432" max="7434" width="9.125" style="30" bestFit="1" customWidth="1"/>
    <col min="7435" max="7435" width="9.25" style="30" bestFit="1" customWidth="1"/>
    <col min="7436" max="7436" width="9.125" style="30" bestFit="1" customWidth="1"/>
    <col min="7437" max="7437" width="9.25" style="30" bestFit="1" customWidth="1"/>
    <col min="7438" max="7673" width="9" style="30"/>
    <col min="7674" max="7674" width="2.125" style="30" customWidth="1"/>
    <col min="7675" max="7675" width="13" style="30" customWidth="1"/>
    <col min="7676" max="7676" width="7.5" style="30" customWidth="1"/>
    <col min="7677" max="7677" width="7.625" style="30" customWidth="1"/>
    <col min="7678" max="7682" width="9.75" style="30" customWidth="1"/>
    <col min="7683" max="7683" width="8" style="30" customWidth="1"/>
    <col min="7684" max="7684" width="5.375" style="30" customWidth="1"/>
    <col min="7685" max="7685" width="9" style="30"/>
    <col min="7686" max="7686" width="10.25" style="30" customWidth="1"/>
    <col min="7687" max="7687" width="11.25" style="30" customWidth="1"/>
    <col min="7688" max="7690" width="9.125" style="30" bestFit="1" customWidth="1"/>
    <col min="7691" max="7691" width="9.25" style="30" bestFit="1" customWidth="1"/>
    <col min="7692" max="7692" width="9.125" style="30" bestFit="1" customWidth="1"/>
    <col min="7693" max="7693" width="9.25" style="30" bestFit="1" customWidth="1"/>
    <col min="7694" max="7929" width="9" style="30"/>
    <col min="7930" max="7930" width="2.125" style="30" customWidth="1"/>
    <col min="7931" max="7931" width="13" style="30" customWidth="1"/>
    <col min="7932" max="7932" width="7.5" style="30" customWidth="1"/>
    <col min="7933" max="7933" width="7.625" style="30" customWidth="1"/>
    <col min="7934" max="7938" width="9.75" style="30" customWidth="1"/>
    <col min="7939" max="7939" width="8" style="30" customWidth="1"/>
    <col min="7940" max="7940" width="5.375" style="30" customWidth="1"/>
    <col min="7941" max="7941" width="9" style="30"/>
    <col min="7942" max="7942" width="10.25" style="30" customWidth="1"/>
    <col min="7943" max="7943" width="11.25" style="30" customWidth="1"/>
    <col min="7944" max="7946" width="9.125" style="30" bestFit="1" customWidth="1"/>
    <col min="7947" max="7947" width="9.25" style="30" bestFit="1" customWidth="1"/>
    <col min="7948" max="7948" width="9.125" style="30" bestFit="1" customWidth="1"/>
    <col min="7949" max="7949" width="9.25" style="30" bestFit="1" customWidth="1"/>
    <col min="7950" max="8185" width="9" style="30"/>
    <col min="8186" max="8186" width="2.125" style="30" customWidth="1"/>
    <col min="8187" max="8187" width="13" style="30" customWidth="1"/>
    <col min="8188" max="8188" width="7.5" style="30" customWidth="1"/>
    <col min="8189" max="8189" width="7.625" style="30" customWidth="1"/>
    <col min="8190" max="8194" width="9.75" style="30" customWidth="1"/>
    <col min="8195" max="8195" width="8" style="30" customWidth="1"/>
    <col min="8196" max="8196" width="5.375" style="30" customWidth="1"/>
    <col min="8197" max="8197" width="9" style="30"/>
    <col min="8198" max="8198" width="10.25" style="30" customWidth="1"/>
    <col min="8199" max="8199" width="11.25" style="30" customWidth="1"/>
    <col min="8200" max="8202" width="9.125" style="30" bestFit="1" customWidth="1"/>
    <col min="8203" max="8203" width="9.25" style="30" bestFit="1" customWidth="1"/>
    <col min="8204" max="8204" width="9.125" style="30" bestFit="1" customWidth="1"/>
    <col min="8205" max="8205" width="9.25" style="30" bestFit="1" customWidth="1"/>
    <col min="8206" max="8441" width="9" style="30"/>
    <col min="8442" max="8442" width="2.125" style="30" customWidth="1"/>
    <col min="8443" max="8443" width="13" style="30" customWidth="1"/>
    <col min="8444" max="8444" width="7.5" style="30" customWidth="1"/>
    <col min="8445" max="8445" width="7.625" style="30" customWidth="1"/>
    <col min="8446" max="8450" width="9.75" style="30" customWidth="1"/>
    <col min="8451" max="8451" width="8" style="30" customWidth="1"/>
    <col min="8452" max="8452" width="5.375" style="30" customWidth="1"/>
    <col min="8453" max="8453" width="9" style="30"/>
    <col min="8454" max="8454" width="10.25" style="30" customWidth="1"/>
    <col min="8455" max="8455" width="11.25" style="30" customWidth="1"/>
    <col min="8456" max="8458" width="9.125" style="30" bestFit="1" customWidth="1"/>
    <col min="8459" max="8459" width="9.25" style="30" bestFit="1" customWidth="1"/>
    <col min="8460" max="8460" width="9.125" style="30" bestFit="1" customWidth="1"/>
    <col min="8461" max="8461" width="9.25" style="30" bestFit="1" customWidth="1"/>
    <col min="8462" max="8697" width="9" style="30"/>
    <col min="8698" max="8698" width="2.125" style="30" customWidth="1"/>
    <col min="8699" max="8699" width="13" style="30" customWidth="1"/>
    <col min="8700" max="8700" width="7.5" style="30" customWidth="1"/>
    <col min="8701" max="8701" width="7.625" style="30" customWidth="1"/>
    <col min="8702" max="8706" width="9.75" style="30" customWidth="1"/>
    <col min="8707" max="8707" width="8" style="30" customWidth="1"/>
    <col min="8708" max="8708" width="5.375" style="30" customWidth="1"/>
    <col min="8709" max="8709" width="9" style="30"/>
    <col min="8710" max="8710" width="10.25" style="30" customWidth="1"/>
    <col min="8711" max="8711" width="11.25" style="30" customWidth="1"/>
    <col min="8712" max="8714" width="9.125" style="30" bestFit="1" customWidth="1"/>
    <col min="8715" max="8715" width="9.25" style="30" bestFit="1" customWidth="1"/>
    <col min="8716" max="8716" width="9.125" style="30" bestFit="1" customWidth="1"/>
    <col min="8717" max="8717" width="9.25" style="30" bestFit="1" customWidth="1"/>
    <col min="8718" max="8953" width="9" style="30"/>
    <col min="8954" max="8954" width="2.125" style="30" customWidth="1"/>
    <col min="8955" max="8955" width="13" style="30" customWidth="1"/>
    <col min="8956" max="8956" width="7.5" style="30" customWidth="1"/>
    <col min="8957" max="8957" width="7.625" style="30" customWidth="1"/>
    <col min="8958" max="8962" width="9.75" style="30" customWidth="1"/>
    <col min="8963" max="8963" width="8" style="30" customWidth="1"/>
    <col min="8964" max="8964" width="5.375" style="30" customWidth="1"/>
    <col min="8965" max="8965" width="9" style="30"/>
    <col min="8966" max="8966" width="10.25" style="30" customWidth="1"/>
    <col min="8967" max="8967" width="11.25" style="30" customWidth="1"/>
    <col min="8968" max="8970" width="9.125" style="30" bestFit="1" customWidth="1"/>
    <col min="8971" max="8971" width="9.25" style="30" bestFit="1" customWidth="1"/>
    <col min="8972" max="8972" width="9.125" style="30" bestFit="1" customWidth="1"/>
    <col min="8973" max="8973" width="9.25" style="30" bestFit="1" customWidth="1"/>
    <col min="8974" max="9209" width="9" style="30"/>
    <col min="9210" max="9210" width="2.125" style="30" customWidth="1"/>
    <col min="9211" max="9211" width="13" style="30" customWidth="1"/>
    <col min="9212" max="9212" width="7.5" style="30" customWidth="1"/>
    <col min="9213" max="9213" width="7.625" style="30" customWidth="1"/>
    <col min="9214" max="9218" width="9.75" style="30" customWidth="1"/>
    <col min="9219" max="9219" width="8" style="30" customWidth="1"/>
    <col min="9220" max="9220" width="5.375" style="30" customWidth="1"/>
    <col min="9221" max="9221" width="9" style="30"/>
    <col min="9222" max="9222" width="10.25" style="30" customWidth="1"/>
    <col min="9223" max="9223" width="11.25" style="30" customWidth="1"/>
    <col min="9224" max="9226" width="9.125" style="30" bestFit="1" customWidth="1"/>
    <col min="9227" max="9227" width="9.25" style="30" bestFit="1" customWidth="1"/>
    <col min="9228" max="9228" width="9.125" style="30" bestFit="1" customWidth="1"/>
    <col min="9229" max="9229" width="9.25" style="30" bestFit="1" customWidth="1"/>
    <col min="9230" max="9465" width="9" style="30"/>
    <col min="9466" max="9466" width="2.125" style="30" customWidth="1"/>
    <col min="9467" max="9467" width="13" style="30" customWidth="1"/>
    <col min="9468" max="9468" width="7.5" style="30" customWidth="1"/>
    <col min="9469" max="9469" width="7.625" style="30" customWidth="1"/>
    <col min="9470" max="9474" width="9.75" style="30" customWidth="1"/>
    <col min="9475" max="9475" width="8" style="30" customWidth="1"/>
    <col min="9476" max="9476" width="5.375" style="30" customWidth="1"/>
    <col min="9477" max="9477" width="9" style="30"/>
    <col min="9478" max="9478" width="10.25" style="30" customWidth="1"/>
    <col min="9479" max="9479" width="11.25" style="30" customWidth="1"/>
    <col min="9480" max="9482" width="9.125" style="30" bestFit="1" customWidth="1"/>
    <col min="9483" max="9483" width="9.25" style="30" bestFit="1" customWidth="1"/>
    <col min="9484" max="9484" width="9.125" style="30" bestFit="1" customWidth="1"/>
    <col min="9485" max="9485" width="9.25" style="30" bestFit="1" customWidth="1"/>
    <col min="9486" max="9721" width="9" style="30"/>
    <col min="9722" max="9722" width="2.125" style="30" customWidth="1"/>
    <col min="9723" max="9723" width="13" style="30" customWidth="1"/>
    <col min="9724" max="9724" width="7.5" style="30" customWidth="1"/>
    <col min="9725" max="9725" width="7.625" style="30" customWidth="1"/>
    <col min="9726" max="9730" width="9.75" style="30" customWidth="1"/>
    <col min="9731" max="9731" width="8" style="30" customWidth="1"/>
    <col min="9732" max="9732" width="5.375" style="30" customWidth="1"/>
    <col min="9733" max="9733" width="9" style="30"/>
    <col min="9734" max="9734" width="10.25" style="30" customWidth="1"/>
    <col min="9735" max="9735" width="11.25" style="30" customWidth="1"/>
    <col min="9736" max="9738" width="9.125" style="30" bestFit="1" customWidth="1"/>
    <col min="9739" max="9739" width="9.25" style="30" bestFit="1" customWidth="1"/>
    <col min="9740" max="9740" width="9.125" style="30" bestFit="1" customWidth="1"/>
    <col min="9741" max="9741" width="9.25" style="30" bestFit="1" customWidth="1"/>
    <col min="9742" max="9977" width="9" style="30"/>
    <col min="9978" max="9978" width="2.125" style="30" customWidth="1"/>
    <col min="9979" max="9979" width="13" style="30" customWidth="1"/>
    <col min="9980" max="9980" width="7.5" style="30" customWidth="1"/>
    <col min="9981" max="9981" width="7.625" style="30" customWidth="1"/>
    <col min="9982" max="9986" width="9.75" style="30" customWidth="1"/>
    <col min="9987" max="9987" width="8" style="30" customWidth="1"/>
    <col min="9988" max="9988" width="5.375" style="30" customWidth="1"/>
    <col min="9989" max="9989" width="9" style="30"/>
    <col min="9990" max="9990" width="10.25" style="30" customWidth="1"/>
    <col min="9991" max="9991" width="11.25" style="30" customWidth="1"/>
    <col min="9992" max="9994" width="9.125" style="30" bestFit="1" customWidth="1"/>
    <col min="9995" max="9995" width="9.25" style="30" bestFit="1" customWidth="1"/>
    <col min="9996" max="9996" width="9.125" style="30" bestFit="1" customWidth="1"/>
    <col min="9997" max="9997" width="9.25" style="30" bestFit="1" customWidth="1"/>
    <col min="9998" max="10233" width="9" style="30"/>
    <col min="10234" max="10234" width="2.125" style="30" customWidth="1"/>
    <col min="10235" max="10235" width="13" style="30" customWidth="1"/>
    <col min="10236" max="10236" width="7.5" style="30" customWidth="1"/>
    <col min="10237" max="10237" width="7.625" style="30" customWidth="1"/>
    <col min="10238" max="10242" width="9.75" style="30" customWidth="1"/>
    <col min="10243" max="10243" width="8" style="30" customWidth="1"/>
    <col min="10244" max="10244" width="5.375" style="30" customWidth="1"/>
    <col min="10245" max="10245" width="9" style="30"/>
    <col min="10246" max="10246" width="10.25" style="30" customWidth="1"/>
    <col min="10247" max="10247" width="11.25" style="30" customWidth="1"/>
    <col min="10248" max="10250" width="9.125" style="30" bestFit="1" customWidth="1"/>
    <col min="10251" max="10251" width="9.25" style="30" bestFit="1" customWidth="1"/>
    <col min="10252" max="10252" width="9.125" style="30" bestFit="1" customWidth="1"/>
    <col min="10253" max="10253" width="9.25" style="30" bestFit="1" customWidth="1"/>
    <col min="10254" max="10489" width="9" style="30"/>
    <col min="10490" max="10490" width="2.125" style="30" customWidth="1"/>
    <col min="10491" max="10491" width="13" style="30" customWidth="1"/>
    <col min="10492" max="10492" width="7.5" style="30" customWidth="1"/>
    <col min="10493" max="10493" width="7.625" style="30" customWidth="1"/>
    <col min="10494" max="10498" width="9.75" style="30" customWidth="1"/>
    <col min="10499" max="10499" width="8" style="30" customWidth="1"/>
    <col min="10500" max="10500" width="5.375" style="30" customWidth="1"/>
    <col min="10501" max="10501" width="9" style="30"/>
    <col min="10502" max="10502" width="10.25" style="30" customWidth="1"/>
    <col min="10503" max="10503" width="11.25" style="30" customWidth="1"/>
    <col min="10504" max="10506" width="9.125" style="30" bestFit="1" customWidth="1"/>
    <col min="10507" max="10507" width="9.25" style="30" bestFit="1" customWidth="1"/>
    <col min="10508" max="10508" width="9.125" style="30" bestFit="1" customWidth="1"/>
    <col min="10509" max="10509" width="9.25" style="30" bestFit="1" customWidth="1"/>
    <col min="10510" max="10745" width="9" style="30"/>
    <col min="10746" max="10746" width="2.125" style="30" customWidth="1"/>
    <col min="10747" max="10747" width="13" style="30" customWidth="1"/>
    <col min="10748" max="10748" width="7.5" style="30" customWidth="1"/>
    <col min="10749" max="10749" width="7.625" style="30" customWidth="1"/>
    <col min="10750" max="10754" width="9.75" style="30" customWidth="1"/>
    <col min="10755" max="10755" width="8" style="30" customWidth="1"/>
    <col min="10756" max="10756" width="5.375" style="30" customWidth="1"/>
    <col min="10757" max="10757" width="9" style="30"/>
    <col min="10758" max="10758" width="10.25" style="30" customWidth="1"/>
    <col min="10759" max="10759" width="11.25" style="30" customWidth="1"/>
    <col min="10760" max="10762" width="9.125" style="30" bestFit="1" customWidth="1"/>
    <col min="10763" max="10763" width="9.25" style="30" bestFit="1" customWidth="1"/>
    <col min="10764" max="10764" width="9.125" style="30" bestFit="1" customWidth="1"/>
    <col min="10765" max="10765" width="9.25" style="30" bestFit="1" customWidth="1"/>
    <col min="10766" max="11001" width="9" style="30"/>
    <col min="11002" max="11002" width="2.125" style="30" customWidth="1"/>
    <col min="11003" max="11003" width="13" style="30" customWidth="1"/>
    <col min="11004" max="11004" width="7.5" style="30" customWidth="1"/>
    <col min="11005" max="11005" width="7.625" style="30" customWidth="1"/>
    <col min="11006" max="11010" width="9.75" style="30" customWidth="1"/>
    <col min="11011" max="11011" width="8" style="30" customWidth="1"/>
    <col min="11012" max="11012" width="5.375" style="30" customWidth="1"/>
    <col min="11013" max="11013" width="9" style="30"/>
    <col min="11014" max="11014" width="10.25" style="30" customWidth="1"/>
    <col min="11015" max="11015" width="11.25" style="30" customWidth="1"/>
    <col min="11016" max="11018" width="9.125" style="30" bestFit="1" customWidth="1"/>
    <col min="11019" max="11019" width="9.25" style="30" bestFit="1" customWidth="1"/>
    <col min="11020" max="11020" width="9.125" style="30" bestFit="1" customWidth="1"/>
    <col min="11021" max="11021" width="9.25" style="30" bestFit="1" customWidth="1"/>
    <col min="11022" max="11257" width="9" style="30"/>
    <col min="11258" max="11258" width="2.125" style="30" customWidth="1"/>
    <col min="11259" max="11259" width="13" style="30" customWidth="1"/>
    <col min="11260" max="11260" width="7.5" style="30" customWidth="1"/>
    <col min="11261" max="11261" width="7.625" style="30" customWidth="1"/>
    <col min="11262" max="11266" width="9.75" style="30" customWidth="1"/>
    <col min="11267" max="11267" width="8" style="30" customWidth="1"/>
    <col min="11268" max="11268" width="5.375" style="30" customWidth="1"/>
    <col min="11269" max="11269" width="9" style="30"/>
    <col min="11270" max="11270" width="10.25" style="30" customWidth="1"/>
    <col min="11271" max="11271" width="11.25" style="30" customWidth="1"/>
    <col min="11272" max="11274" width="9.125" style="30" bestFit="1" customWidth="1"/>
    <col min="11275" max="11275" width="9.25" style="30" bestFit="1" customWidth="1"/>
    <col min="11276" max="11276" width="9.125" style="30" bestFit="1" customWidth="1"/>
    <col min="11277" max="11277" width="9.25" style="30" bestFit="1" customWidth="1"/>
    <col min="11278" max="11513" width="9" style="30"/>
    <col min="11514" max="11514" width="2.125" style="30" customWidth="1"/>
    <col min="11515" max="11515" width="13" style="30" customWidth="1"/>
    <col min="11516" max="11516" width="7.5" style="30" customWidth="1"/>
    <col min="11517" max="11517" width="7.625" style="30" customWidth="1"/>
    <col min="11518" max="11522" width="9.75" style="30" customWidth="1"/>
    <col min="11523" max="11523" width="8" style="30" customWidth="1"/>
    <col min="11524" max="11524" width="5.375" style="30" customWidth="1"/>
    <col min="11525" max="11525" width="9" style="30"/>
    <col min="11526" max="11526" width="10.25" style="30" customWidth="1"/>
    <col min="11527" max="11527" width="11.25" style="30" customWidth="1"/>
    <col min="11528" max="11530" width="9.125" style="30" bestFit="1" customWidth="1"/>
    <col min="11531" max="11531" width="9.25" style="30" bestFit="1" customWidth="1"/>
    <col min="11532" max="11532" width="9.125" style="30" bestFit="1" customWidth="1"/>
    <col min="11533" max="11533" width="9.25" style="30" bestFit="1" customWidth="1"/>
    <col min="11534" max="11769" width="9" style="30"/>
    <col min="11770" max="11770" width="2.125" style="30" customWidth="1"/>
    <col min="11771" max="11771" width="13" style="30" customWidth="1"/>
    <col min="11772" max="11772" width="7.5" style="30" customWidth="1"/>
    <col min="11773" max="11773" width="7.625" style="30" customWidth="1"/>
    <col min="11774" max="11778" width="9.75" style="30" customWidth="1"/>
    <col min="11779" max="11779" width="8" style="30" customWidth="1"/>
    <col min="11780" max="11780" width="5.375" style="30" customWidth="1"/>
    <col min="11781" max="11781" width="9" style="30"/>
    <col min="11782" max="11782" width="10.25" style="30" customWidth="1"/>
    <col min="11783" max="11783" width="11.25" style="30" customWidth="1"/>
    <col min="11784" max="11786" width="9.125" style="30" bestFit="1" customWidth="1"/>
    <col min="11787" max="11787" width="9.25" style="30" bestFit="1" customWidth="1"/>
    <col min="11788" max="11788" width="9.125" style="30" bestFit="1" customWidth="1"/>
    <col min="11789" max="11789" width="9.25" style="30" bestFit="1" customWidth="1"/>
    <col min="11790" max="12025" width="9" style="30"/>
    <col min="12026" max="12026" width="2.125" style="30" customWidth="1"/>
    <col min="12027" max="12027" width="13" style="30" customWidth="1"/>
    <col min="12028" max="12028" width="7.5" style="30" customWidth="1"/>
    <col min="12029" max="12029" width="7.625" style="30" customWidth="1"/>
    <col min="12030" max="12034" width="9.75" style="30" customWidth="1"/>
    <col min="12035" max="12035" width="8" style="30" customWidth="1"/>
    <col min="12036" max="12036" width="5.375" style="30" customWidth="1"/>
    <col min="12037" max="12037" width="9" style="30"/>
    <col min="12038" max="12038" width="10.25" style="30" customWidth="1"/>
    <col min="12039" max="12039" width="11.25" style="30" customWidth="1"/>
    <col min="12040" max="12042" width="9.125" style="30" bestFit="1" customWidth="1"/>
    <col min="12043" max="12043" width="9.25" style="30" bestFit="1" customWidth="1"/>
    <col min="12044" max="12044" width="9.125" style="30" bestFit="1" customWidth="1"/>
    <col min="12045" max="12045" width="9.25" style="30" bestFit="1" customWidth="1"/>
    <col min="12046" max="12281" width="9" style="30"/>
    <col min="12282" max="12282" width="2.125" style="30" customWidth="1"/>
    <col min="12283" max="12283" width="13" style="30" customWidth="1"/>
    <col min="12284" max="12284" width="7.5" style="30" customWidth="1"/>
    <col min="12285" max="12285" width="7.625" style="30" customWidth="1"/>
    <col min="12286" max="12290" width="9.75" style="30" customWidth="1"/>
    <col min="12291" max="12291" width="8" style="30" customWidth="1"/>
    <col min="12292" max="12292" width="5.375" style="30" customWidth="1"/>
    <col min="12293" max="12293" width="9" style="30"/>
    <col min="12294" max="12294" width="10.25" style="30" customWidth="1"/>
    <col min="12295" max="12295" width="11.25" style="30" customWidth="1"/>
    <col min="12296" max="12298" width="9.125" style="30" bestFit="1" customWidth="1"/>
    <col min="12299" max="12299" width="9.25" style="30" bestFit="1" customWidth="1"/>
    <col min="12300" max="12300" width="9.125" style="30" bestFit="1" customWidth="1"/>
    <col min="12301" max="12301" width="9.25" style="30" bestFit="1" customWidth="1"/>
    <col min="12302" max="12537" width="9" style="30"/>
    <col min="12538" max="12538" width="2.125" style="30" customWidth="1"/>
    <col min="12539" max="12539" width="13" style="30" customWidth="1"/>
    <col min="12540" max="12540" width="7.5" style="30" customWidth="1"/>
    <col min="12541" max="12541" width="7.625" style="30" customWidth="1"/>
    <col min="12542" max="12546" width="9.75" style="30" customWidth="1"/>
    <col min="12547" max="12547" width="8" style="30" customWidth="1"/>
    <col min="12548" max="12548" width="5.375" style="30" customWidth="1"/>
    <col min="12549" max="12549" width="9" style="30"/>
    <col min="12550" max="12550" width="10.25" style="30" customWidth="1"/>
    <col min="12551" max="12551" width="11.25" style="30" customWidth="1"/>
    <col min="12552" max="12554" width="9.125" style="30" bestFit="1" customWidth="1"/>
    <col min="12555" max="12555" width="9.25" style="30" bestFit="1" customWidth="1"/>
    <col min="12556" max="12556" width="9.125" style="30" bestFit="1" customWidth="1"/>
    <col min="12557" max="12557" width="9.25" style="30" bestFit="1" customWidth="1"/>
    <col min="12558" max="12793" width="9" style="30"/>
    <col min="12794" max="12794" width="2.125" style="30" customWidth="1"/>
    <col min="12795" max="12795" width="13" style="30" customWidth="1"/>
    <col min="12796" max="12796" width="7.5" style="30" customWidth="1"/>
    <col min="12797" max="12797" width="7.625" style="30" customWidth="1"/>
    <col min="12798" max="12802" width="9.75" style="30" customWidth="1"/>
    <col min="12803" max="12803" width="8" style="30" customWidth="1"/>
    <col min="12804" max="12804" width="5.375" style="30" customWidth="1"/>
    <col min="12805" max="12805" width="9" style="30"/>
    <col min="12806" max="12806" width="10.25" style="30" customWidth="1"/>
    <col min="12807" max="12807" width="11.25" style="30" customWidth="1"/>
    <col min="12808" max="12810" width="9.125" style="30" bestFit="1" customWidth="1"/>
    <col min="12811" max="12811" width="9.25" style="30" bestFit="1" customWidth="1"/>
    <col min="12812" max="12812" width="9.125" style="30" bestFit="1" customWidth="1"/>
    <col min="12813" max="12813" width="9.25" style="30" bestFit="1" customWidth="1"/>
    <col min="12814" max="13049" width="9" style="30"/>
    <col min="13050" max="13050" width="2.125" style="30" customWidth="1"/>
    <col min="13051" max="13051" width="13" style="30" customWidth="1"/>
    <col min="13052" max="13052" width="7.5" style="30" customWidth="1"/>
    <col min="13053" max="13053" width="7.625" style="30" customWidth="1"/>
    <col min="13054" max="13058" width="9.75" style="30" customWidth="1"/>
    <col min="13059" max="13059" width="8" style="30" customWidth="1"/>
    <col min="13060" max="13060" width="5.375" style="30" customWidth="1"/>
    <col min="13061" max="13061" width="9" style="30"/>
    <col min="13062" max="13062" width="10.25" style="30" customWidth="1"/>
    <col min="13063" max="13063" width="11.25" style="30" customWidth="1"/>
    <col min="13064" max="13066" width="9.125" style="30" bestFit="1" customWidth="1"/>
    <col min="13067" max="13067" width="9.25" style="30" bestFit="1" customWidth="1"/>
    <col min="13068" max="13068" width="9.125" style="30" bestFit="1" customWidth="1"/>
    <col min="13069" max="13069" width="9.25" style="30" bestFit="1" customWidth="1"/>
    <col min="13070" max="13305" width="9" style="30"/>
    <col min="13306" max="13306" width="2.125" style="30" customWidth="1"/>
    <col min="13307" max="13307" width="13" style="30" customWidth="1"/>
    <col min="13308" max="13308" width="7.5" style="30" customWidth="1"/>
    <col min="13309" max="13309" width="7.625" style="30" customWidth="1"/>
    <col min="13310" max="13314" width="9.75" style="30" customWidth="1"/>
    <col min="13315" max="13315" width="8" style="30" customWidth="1"/>
    <col min="13316" max="13316" width="5.375" style="30" customWidth="1"/>
    <col min="13317" max="13317" width="9" style="30"/>
    <col min="13318" max="13318" width="10.25" style="30" customWidth="1"/>
    <col min="13319" max="13319" width="11.25" style="30" customWidth="1"/>
    <col min="13320" max="13322" width="9.125" style="30" bestFit="1" customWidth="1"/>
    <col min="13323" max="13323" width="9.25" style="30" bestFit="1" customWidth="1"/>
    <col min="13324" max="13324" width="9.125" style="30" bestFit="1" customWidth="1"/>
    <col min="13325" max="13325" width="9.25" style="30" bestFit="1" customWidth="1"/>
    <col min="13326" max="13561" width="9" style="30"/>
    <col min="13562" max="13562" width="2.125" style="30" customWidth="1"/>
    <col min="13563" max="13563" width="13" style="30" customWidth="1"/>
    <col min="13564" max="13564" width="7.5" style="30" customWidth="1"/>
    <col min="13565" max="13565" width="7.625" style="30" customWidth="1"/>
    <col min="13566" max="13570" width="9.75" style="30" customWidth="1"/>
    <col min="13571" max="13571" width="8" style="30" customWidth="1"/>
    <col min="13572" max="13572" width="5.375" style="30" customWidth="1"/>
    <col min="13573" max="13573" width="9" style="30"/>
    <col min="13574" max="13574" width="10.25" style="30" customWidth="1"/>
    <col min="13575" max="13575" width="11.25" style="30" customWidth="1"/>
    <col min="13576" max="13578" width="9.125" style="30" bestFit="1" customWidth="1"/>
    <col min="13579" max="13579" width="9.25" style="30" bestFit="1" customWidth="1"/>
    <col min="13580" max="13580" width="9.125" style="30" bestFit="1" customWidth="1"/>
    <col min="13581" max="13581" width="9.25" style="30" bestFit="1" customWidth="1"/>
    <col min="13582" max="13817" width="9" style="30"/>
    <col min="13818" max="13818" width="2.125" style="30" customWidth="1"/>
    <col min="13819" max="13819" width="13" style="30" customWidth="1"/>
    <col min="13820" max="13820" width="7.5" style="30" customWidth="1"/>
    <col min="13821" max="13821" width="7.625" style="30" customWidth="1"/>
    <col min="13822" max="13826" width="9.75" style="30" customWidth="1"/>
    <col min="13827" max="13827" width="8" style="30" customWidth="1"/>
    <col min="13828" max="13828" width="5.375" style="30" customWidth="1"/>
    <col min="13829" max="13829" width="9" style="30"/>
    <col min="13830" max="13830" width="10.25" style="30" customWidth="1"/>
    <col min="13831" max="13831" width="11.25" style="30" customWidth="1"/>
    <col min="13832" max="13834" width="9.125" style="30" bestFit="1" customWidth="1"/>
    <col min="13835" max="13835" width="9.25" style="30" bestFit="1" customWidth="1"/>
    <col min="13836" max="13836" width="9.125" style="30" bestFit="1" customWidth="1"/>
    <col min="13837" max="13837" width="9.25" style="30" bestFit="1" customWidth="1"/>
    <col min="13838" max="14073" width="9" style="30"/>
    <col min="14074" max="14074" width="2.125" style="30" customWidth="1"/>
    <col min="14075" max="14075" width="13" style="30" customWidth="1"/>
    <col min="14076" max="14076" width="7.5" style="30" customWidth="1"/>
    <col min="14077" max="14077" width="7.625" style="30" customWidth="1"/>
    <col min="14078" max="14082" width="9.75" style="30" customWidth="1"/>
    <col min="14083" max="14083" width="8" style="30" customWidth="1"/>
    <col min="14084" max="14084" width="5.375" style="30" customWidth="1"/>
    <col min="14085" max="14085" width="9" style="30"/>
    <col min="14086" max="14086" width="10.25" style="30" customWidth="1"/>
    <col min="14087" max="14087" width="11.25" style="30" customWidth="1"/>
    <col min="14088" max="14090" width="9.125" style="30" bestFit="1" customWidth="1"/>
    <col min="14091" max="14091" width="9.25" style="30" bestFit="1" customWidth="1"/>
    <col min="14092" max="14092" width="9.125" style="30" bestFit="1" customWidth="1"/>
    <col min="14093" max="14093" width="9.25" style="30" bestFit="1" customWidth="1"/>
    <col min="14094" max="14329" width="9" style="30"/>
    <col min="14330" max="14330" width="2.125" style="30" customWidth="1"/>
    <col min="14331" max="14331" width="13" style="30" customWidth="1"/>
    <col min="14332" max="14332" width="7.5" style="30" customWidth="1"/>
    <col min="14333" max="14333" width="7.625" style="30" customWidth="1"/>
    <col min="14334" max="14338" width="9.75" style="30" customWidth="1"/>
    <col min="14339" max="14339" width="8" style="30" customWidth="1"/>
    <col min="14340" max="14340" width="5.375" style="30" customWidth="1"/>
    <col min="14341" max="14341" width="9" style="30"/>
    <col min="14342" max="14342" width="10.25" style="30" customWidth="1"/>
    <col min="14343" max="14343" width="11.25" style="30" customWidth="1"/>
    <col min="14344" max="14346" width="9.125" style="30" bestFit="1" customWidth="1"/>
    <col min="14347" max="14347" width="9.25" style="30" bestFit="1" customWidth="1"/>
    <col min="14348" max="14348" width="9.125" style="30" bestFit="1" customWidth="1"/>
    <col min="14349" max="14349" width="9.25" style="30" bestFit="1" customWidth="1"/>
    <col min="14350" max="14585" width="9" style="30"/>
    <col min="14586" max="14586" width="2.125" style="30" customWidth="1"/>
    <col min="14587" max="14587" width="13" style="30" customWidth="1"/>
    <col min="14588" max="14588" width="7.5" style="30" customWidth="1"/>
    <col min="14589" max="14589" width="7.625" style="30" customWidth="1"/>
    <col min="14590" max="14594" width="9.75" style="30" customWidth="1"/>
    <col min="14595" max="14595" width="8" style="30" customWidth="1"/>
    <col min="14596" max="14596" width="5.375" style="30" customWidth="1"/>
    <col min="14597" max="14597" width="9" style="30"/>
    <col min="14598" max="14598" width="10.25" style="30" customWidth="1"/>
    <col min="14599" max="14599" width="11.25" style="30" customWidth="1"/>
    <col min="14600" max="14602" width="9.125" style="30" bestFit="1" customWidth="1"/>
    <col min="14603" max="14603" width="9.25" style="30" bestFit="1" customWidth="1"/>
    <col min="14604" max="14604" width="9.125" style="30" bestFit="1" customWidth="1"/>
    <col min="14605" max="14605" width="9.25" style="30" bestFit="1" customWidth="1"/>
    <col min="14606" max="14841" width="9" style="30"/>
    <col min="14842" max="14842" width="2.125" style="30" customWidth="1"/>
    <col min="14843" max="14843" width="13" style="30" customWidth="1"/>
    <col min="14844" max="14844" width="7.5" style="30" customWidth="1"/>
    <col min="14845" max="14845" width="7.625" style="30" customWidth="1"/>
    <col min="14846" max="14850" width="9.75" style="30" customWidth="1"/>
    <col min="14851" max="14851" width="8" style="30" customWidth="1"/>
    <col min="14852" max="14852" width="5.375" style="30" customWidth="1"/>
    <col min="14853" max="14853" width="9" style="30"/>
    <col min="14854" max="14854" width="10.25" style="30" customWidth="1"/>
    <col min="14855" max="14855" width="11.25" style="30" customWidth="1"/>
    <col min="14856" max="14858" width="9.125" style="30" bestFit="1" customWidth="1"/>
    <col min="14859" max="14859" width="9.25" style="30" bestFit="1" customWidth="1"/>
    <col min="14860" max="14860" width="9.125" style="30" bestFit="1" customWidth="1"/>
    <col min="14861" max="14861" width="9.25" style="30" bestFit="1" customWidth="1"/>
    <col min="14862" max="15097" width="9" style="30"/>
    <col min="15098" max="15098" width="2.125" style="30" customWidth="1"/>
    <col min="15099" max="15099" width="13" style="30" customWidth="1"/>
    <col min="15100" max="15100" width="7.5" style="30" customWidth="1"/>
    <col min="15101" max="15101" width="7.625" style="30" customWidth="1"/>
    <col min="15102" max="15106" width="9.75" style="30" customWidth="1"/>
    <col min="15107" max="15107" width="8" style="30" customWidth="1"/>
    <col min="15108" max="15108" width="5.375" style="30" customWidth="1"/>
    <col min="15109" max="15109" width="9" style="30"/>
    <col min="15110" max="15110" width="10.25" style="30" customWidth="1"/>
    <col min="15111" max="15111" width="11.25" style="30" customWidth="1"/>
    <col min="15112" max="15114" width="9.125" style="30" bestFit="1" customWidth="1"/>
    <col min="15115" max="15115" width="9.25" style="30" bestFit="1" customWidth="1"/>
    <col min="15116" max="15116" width="9.125" style="30" bestFit="1" customWidth="1"/>
    <col min="15117" max="15117" width="9.25" style="30" bestFit="1" customWidth="1"/>
    <col min="15118" max="15353" width="9" style="30"/>
    <col min="15354" max="15354" width="2.125" style="30" customWidth="1"/>
    <col min="15355" max="15355" width="13" style="30" customWidth="1"/>
    <col min="15356" max="15356" width="7.5" style="30" customWidth="1"/>
    <col min="15357" max="15357" width="7.625" style="30" customWidth="1"/>
    <col min="15358" max="15362" width="9.75" style="30" customWidth="1"/>
    <col min="15363" max="15363" width="8" style="30" customWidth="1"/>
    <col min="15364" max="15364" width="5.375" style="30" customWidth="1"/>
    <col min="15365" max="15365" width="9" style="30"/>
    <col min="15366" max="15366" width="10.25" style="30" customWidth="1"/>
    <col min="15367" max="15367" width="11.25" style="30" customWidth="1"/>
    <col min="15368" max="15370" width="9.125" style="30" bestFit="1" customWidth="1"/>
    <col min="15371" max="15371" width="9.25" style="30" bestFit="1" customWidth="1"/>
    <col min="15372" max="15372" width="9.125" style="30" bestFit="1" customWidth="1"/>
    <col min="15373" max="15373" width="9.25" style="30" bestFit="1" customWidth="1"/>
    <col min="15374" max="15609" width="9" style="30"/>
    <col min="15610" max="15610" width="2.125" style="30" customWidth="1"/>
    <col min="15611" max="15611" width="13" style="30" customWidth="1"/>
    <col min="15612" max="15612" width="7.5" style="30" customWidth="1"/>
    <col min="15613" max="15613" width="7.625" style="30" customWidth="1"/>
    <col min="15614" max="15618" width="9.75" style="30" customWidth="1"/>
    <col min="15619" max="15619" width="8" style="30" customWidth="1"/>
    <col min="15620" max="15620" width="5.375" style="30" customWidth="1"/>
    <col min="15621" max="15621" width="9" style="30"/>
    <col min="15622" max="15622" width="10.25" style="30" customWidth="1"/>
    <col min="15623" max="15623" width="11.25" style="30" customWidth="1"/>
    <col min="15624" max="15626" width="9.125" style="30" bestFit="1" customWidth="1"/>
    <col min="15627" max="15627" width="9.25" style="30" bestFit="1" customWidth="1"/>
    <col min="15628" max="15628" width="9.125" style="30" bestFit="1" customWidth="1"/>
    <col min="15629" max="15629" width="9.25" style="30" bestFit="1" customWidth="1"/>
    <col min="15630" max="15865" width="9" style="30"/>
    <col min="15866" max="15866" width="2.125" style="30" customWidth="1"/>
    <col min="15867" max="15867" width="13" style="30" customWidth="1"/>
    <col min="15868" max="15868" width="7.5" style="30" customWidth="1"/>
    <col min="15869" max="15869" width="7.625" style="30" customWidth="1"/>
    <col min="15870" max="15874" width="9.75" style="30" customWidth="1"/>
    <col min="15875" max="15875" width="8" style="30" customWidth="1"/>
    <col min="15876" max="15876" width="5.375" style="30" customWidth="1"/>
    <col min="15877" max="15877" width="9" style="30"/>
    <col min="15878" max="15878" width="10.25" style="30" customWidth="1"/>
    <col min="15879" max="15879" width="11.25" style="30" customWidth="1"/>
    <col min="15880" max="15882" width="9.125" style="30" bestFit="1" customWidth="1"/>
    <col min="15883" max="15883" width="9.25" style="30" bestFit="1" customWidth="1"/>
    <col min="15884" max="15884" width="9.125" style="30" bestFit="1" customWidth="1"/>
    <col min="15885" max="15885" width="9.25" style="30" bestFit="1" customWidth="1"/>
    <col min="15886" max="16121" width="9" style="30"/>
    <col min="16122" max="16122" width="2.125" style="30" customWidth="1"/>
    <col min="16123" max="16123" width="13" style="30" customWidth="1"/>
    <col min="16124" max="16124" width="7.5" style="30" customWidth="1"/>
    <col min="16125" max="16125" width="7.625" style="30" customWidth="1"/>
    <col min="16126" max="16130" width="9.75" style="30" customWidth="1"/>
    <col min="16131" max="16131" width="8" style="30" customWidth="1"/>
    <col min="16132" max="16132" width="5.375" style="30" customWidth="1"/>
    <col min="16133" max="16133" width="9" style="30"/>
    <col min="16134" max="16134" width="10.25" style="30" customWidth="1"/>
    <col min="16135" max="16135" width="11.25" style="30" customWidth="1"/>
    <col min="16136" max="16138" width="9.125" style="30" bestFit="1" customWidth="1"/>
    <col min="16139" max="16139" width="9.25" style="30" bestFit="1" customWidth="1"/>
    <col min="16140" max="16140" width="9.125" style="30" bestFit="1" customWidth="1"/>
    <col min="16141" max="16141" width="9.25" style="30" bestFit="1" customWidth="1"/>
    <col min="16142" max="16384" width="9" style="30"/>
  </cols>
  <sheetData>
    <row r="1" spans="3:25" ht="21.75" customHeight="1">
      <c r="C1" s="117" t="s">
        <v>186</v>
      </c>
      <c r="D1" s="117"/>
      <c r="E1" s="117"/>
      <c r="F1" s="117"/>
      <c r="G1" s="117"/>
      <c r="H1" s="117"/>
      <c r="I1" s="117"/>
      <c r="J1" s="117"/>
      <c r="K1" s="117"/>
      <c r="L1" s="117"/>
    </row>
    <row r="2" spans="3:25" ht="21.75" customHeight="1">
      <c r="C2" s="116" t="s">
        <v>183</v>
      </c>
      <c r="D2" s="116"/>
      <c r="E2" s="116"/>
      <c r="F2" s="116"/>
      <c r="G2" s="116"/>
      <c r="H2" s="116"/>
      <c r="I2" s="116"/>
      <c r="J2" s="116"/>
      <c r="K2" s="116"/>
      <c r="L2" s="116" t="s">
        <v>187</v>
      </c>
      <c r="M2" s="112">
        <v>2.2000000000000002</v>
      </c>
      <c r="N2" s="33"/>
      <c r="O2" s="33"/>
    </row>
    <row r="3" spans="3:25" ht="27.75" customHeight="1">
      <c r="C3" s="220" t="s">
        <v>173</v>
      </c>
      <c r="D3" s="221" t="s">
        <v>174</v>
      </c>
      <c r="E3" s="219" t="s">
        <v>170</v>
      </c>
      <c r="F3" s="219"/>
      <c r="G3" s="219"/>
      <c r="H3" s="219"/>
      <c r="I3" s="219"/>
      <c r="J3" s="219"/>
      <c r="K3" s="219"/>
      <c r="L3" s="219"/>
    </row>
    <row r="4" spans="3:25" ht="27.75" customHeight="1" thickBot="1">
      <c r="C4" s="220"/>
      <c r="D4" s="222"/>
      <c r="E4" s="106" t="s">
        <v>171</v>
      </c>
      <c r="F4" s="106" t="s">
        <v>163</v>
      </c>
      <c r="G4" s="106" t="s">
        <v>164</v>
      </c>
      <c r="H4" s="106" t="s">
        <v>165</v>
      </c>
      <c r="I4" s="106" t="s">
        <v>166</v>
      </c>
      <c r="J4" s="106" t="s">
        <v>167</v>
      </c>
      <c r="K4" s="106" t="s">
        <v>168</v>
      </c>
      <c r="L4" s="106" t="s">
        <v>169</v>
      </c>
    </row>
    <row r="5" spans="3:25" ht="22.5" hidden="1" customHeight="1">
      <c r="C5" s="102"/>
      <c r="D5" s="102"/>
      <c r="E5" s="97">
        <v>52.7</v>
      </c>
      <c r="F5" s="97">
        <v>65.899999999999991</v>
      </c>
      <c r="G5" s="96">
        <v>78.099999999999994</v>
      </c>
      <c r="H5" s="96">
        <v>102.3</v>
      </c>
      <c r="I5" s="96">
        <v>126.6</v>
      </c>
      <c r="J5" s="96">
        <v>151</v>
      </c>
      <c r="K5" s="96">
        <v>199.9</v>
      </c>
      <c r="L5" s="96">
        <v>248.8</v>
      </c>
    </row>
    <row r="6" spans="3:25" ht="14.25" thickBot="1">
      <c r="C6" s="102">
        <v>15</v>
      </c>
      <c r="D6" s="103" t="s">
        <v>175</v>
      </c>
      <c r="E6" s="108">
        <f>$C$6/((E5/(1000*2))*(E5/(1000*2))*PI()*3600)</f>
        <v>1.9101947473003695</v>
      </c>
      <c r="F6" s="107">
        <f t="shared" ref="F6:L6" si="0">$C$6/((F5/(1000*2))*(F5/(1000*2))*PI()*3600)</f>
        <v>1.2215972537895619</v>
      </c>
      <c r="G6" s="99">
        <f t="shared" si="0"/>
        <v>0.86975474984955536</v>
      </c>
      <c r="H6" s="99">
        <f t="shared" si="0"/>
        <v>0.50692955185473543</v>
      </c>
      <c r="I6" s="99">
        <f t="shared" si="0"/>
        <v>0.33100264605029373</v>
      </c>
      <c r="J6" s="99">
        <f t="shared" si="0"/>
        <v>0.23267246040655434</v>
      </c>
      <c r="K6" s="99">
        <f t="shared" si="0"/>
        <v>0.13276184790068485</v>
      </c>
      <c r="L6" s="99">
        <f t="shared" si="0"/>
        <v>8.5703414488093391E-2</v>
      </c>
      <c r="N6" s="100"/>
      <c r="R6" s="101"/>
      <c r="S6" s="101"/>
      <c r="T6" s="101"/>
      <c r="U6" s="101"/>
      <c r="V6" s="101"/>
      <c r="W6" s="101"/>
      <c r="X6" s="101"/>
      <c r="Y6" s="101"/>
    </row>
    <row r="7" spans="3:25" ht="14.25" thickBot="1">
      <c r="C7" s="102">
        <v>20</v>
      </c>
      <c r="D7" s="103" t="s">
        <v>175</v>
      </c>
      <c r="E7" s="108">
        <f t="shared" ref="E7:L7" si="1">$C$7/((E5/(1000*2))*(E5/(1000*2))*PI()*3600)</f>
        <v>2.546926329733826</v>
      </c>
      <c r="F7" s="111">
        <f t="shared" si="1"/>
        <v>1.6287963383860824</v>
      </c>
      <c r="G7" s="99">
        <f t="shared" si="1"/>
        <v>1.1596729997994073</v>
      </c>
      <c r="H7" s="99">
        <f t="shared" si="1"/>
        <v>0.67590606913964724</v>
      </c>
      <c r="I7" s="99">
        <f t="shared" si="1"/>
        <v>0.44133686140039163</v>
      </c>
      <c r="J7" s="99">
        <f t="shared" si="1"/>
        <v>0.31022994720873914</v>
      </c>
      <c r="K7" s="99">
        <f t="shared" si="1"/>
        <v>0.17701579720091315</v>
      </c>
      <c r="L7" s="99">
        <f t="shared" si="1"/>
        <v>0.11427121931745784</v>
      </c>
      <c r="N7" s="100"/>
      <c r="R7" s="101"/>
      <c r="S7" s="101"/>
      <c r="T7" s="101"/>
      <c r="U7" s="101"/>
      <c r="V7" s="101"/>
      <c r="W7" s="101"/>
      <c r="X7" s="101"/>
      <c r="Y7" s="101"/>
    </row>
    <row r="8" spans="3:25" ht="14.25" thickBot="1">
      <c r="C8" s="102">
        <v>25</v>
      </c>
      <c r="D8" s="103" t="s">
        <v>175</v>
      </c>
      <c r="E8" s="109">
        <f t="shared" ref="E8:L8" si="2">$C$8/((E5/(1000*2))*(E5/(1000*2))*PI()*3600)</f>
        <v>3.1836579121672828</v>
      </c>
      <c r="F8" s="108">
        <f t="shared" si="2"/>
        <v>2.0359954229826029</v>
      </c>
      <c r="G8" s="107">
        <f t="shared" si="2"/>
        <v>1.4495912497492589</v>
      </c>
      <c r="H8" s="99">
        <f t="shared" si="2"/>
        <v>0.84488258642455916</v>
      </c>
      <c r="I8" s="99">
        <f t="shared" si="2"/>
        <v>0.55167107675048954</v>
      </c>
      <c r="J8" s="99">
        <f t="shared" si="2"/>
        <v>0.38778743401092391</v>
      </c>
      <c r="K8" s="99">
        <f t="shared" si="2"/>
        <v>0.22126974650114142</v>
      </c>
      <c r="L8" s="99">
        <f t="shared" si="2"/>
        <v>0.14283902414682231</v>
      </c>
      <c r="N8" s="100"/>
      <c r="R8" s="101"/>
      <c r="S8" s="101"/>
      <c r="T8" s="101"/>
      <c r="U8" s="101"/>
      <c r="V8" s="101"/>
      <c r="W8" s="101"/>
      <c r="X8" s="101"/>
      <c r="Y8" s="101"/>
    </row>
    <row r="9" spans="3:25" ht="14.25" thickBot="1">
      <c r="C9" s="102">
        <v>30</v>
      </c>
      <c r="D9" s="103" t="s">
        <v>175</v>
      </c>
      <c r="E9" s="110">
        <f t="shared" ref="E9:L9" si="3">$C$9/((E5/(1000*2))*(E5/(1000*2))*PI()*3600)</f>
        <v>3.8203894946007391</v>
      </c>
      <c r="F9" s="108">
        <f t="shared" si="3"/>
        <v>2.4431945075791237</v>
      </c>
      <c r="G9" s="111">
        <f t="shared" si="3"/>
        <v>1.7395094996991107</v>
      </c>
      <c r="H9" s="99">
        <f t="shared" si="3"/>
        <v>1.0138591037094709</v>
      </c>
      <c r="I9" s="99">
        <f t="shared" si="3"/>
        <v>0.66200529210058745</v>
      </c>
      <c r="J9" s="99">
        <f t="shared" si="3"/>
        <v>0.46534492081310869</v>
      </c>
      <c r="K9" s="99">
        <f t="shared" si="3"/>
        <v>0.2655236958013697</v>
      </c>
      <c r="L9" s="99">
        <f t="shared" si="3"/>
        <v>0.17140682897618678</v>
      </c>
      <c r="N9" s="100"/>
      <c r="R9" s="101"/>
      <c r="S9" s="101"/>
      <c r="T9" s="101"/>
      <c r="U9" s="101"/>
      <c r="V9" s="101"/>
      <c r="W9" s="101"/>
      <c r="X9" s="101"/>
      <c r="Y9" s="101"/>
    </row>
    <row r="10" spans="3:25" ht="14.25" thickBot="1">
      <c r="C10" s="102">
        <v>35</v>
      </c>
      <c r="D10" s="103" t="s">
        <v>176</v>
      </c>
      <c r="E10" s="99">
        <f t="shared" ref="E10:L10" si="4">$C$10/((E5/(1000*2))*(E5/(1000*2))*PI()*3600)</f>
        <v>4.4571210770341958</v>
      </c>
      <c r="F10" s="109">
        <f t="shared" si="4"/>
        <v>2.850393592175644</v>
      </c>
      <c r="G10" s="108">
        <f t="shared" si="4"/>
        <v>2.0294277496489626</v>
      </c>
      <c r="H10" s="107">
        <f t="shared" si="4"/>
        <v>1.1828356209943827</v>
      </c>
      <c r="I10" s="99">
        <f t="shared" si="4"/>
        <v>0.77233950745068536</v>
      </c>
      <c r="J10" s="99">
        <f t="shared" si="4"/>
        <v>0.54290240761529351</v>
      </c>
      <c r="K10" s="99">
        <f t="shared" si="4"/>
        <v>0.309777645101598</v>
      </c>
      <c r="L10" s="99">
        <f t="shared" si="4"/>
        <v>0.19997463380555125</v>
      </c>
      <c r="N10" s="100"/>
      <c r="R10" s="101"/>
      <c r="S10" s="101"/>
      <c r="T10" s="101"/>
      <c r="U10" s="101"/>
      <c r="V10" s="101"/>
      <c r="W10" s="101"/>
      <c r="X10" s="101"/>
      <c r="Y10" s="101"/>
    </row>
    <row r="11" spans="3:25" ht="14.25" thickBot="1">
      <c r="C11" s="102">
        <v>40</v>
      </c>
      <c r="D11" s="103" t="s">
        <v>176</v>
      </c>
      <c r="E11" s="99">
        <f t="shared" ref="E11:L11" si="5">$C$11/((E5/(1000*2))*(E5/(1000*2))*PI()*3600)</f>
        <v>5.0938526594676521</v>
      </c>
      <c r="F11" s="110">
        <f t="shared" si="5"/>
        <v>3.2575926767721648</v>
      </c>
      <c r="G11" s="108">
        <f t="shared" si="5"/>
        <v>2.3193459995988146</v>
      </c>
      <c r="H11" s="107">
        <f t="shared" si="5"/>
        <v>1.3518121382792945</v>
      </c>
      <c r="I11" s="99">
        <f t="shared" si="5"/>
        <v>0.88267372280078327</v>
      </c>
      <c r="J11" s="99">
        <f t="shared" si="5"/>
        <v>0.62045989441747829</v>
      </c>
      <c r="K11" s="99">
        <f t="shared" si="5"/>
        <v>0.3540315944018263</v>
      </c>
      <c r="L11" s="99">
        <f t="shared" si="5"/>
        <v>0.22854243863491569</v>
      </c>
      <c r="N11" s="100"/>
      <c r="R11" s="101"/>
      <c r="S11" s="101"/>
      <c r="T11" s="101"/>
      <c r="U11" s="101"/>
      <c r="V11" s="101"/>
      <c r="W11" s="101"/>
      <c r="X11" s="101"/>
      <c r="Y11" s="101"/>
    </row>
    <row r="12" spans="3:25" ht="14.25" thickBot="1">
      <c r="C12" s="102">
        <v>45</v>
      </c>
      <c r="D12" s="103" t="s">
        <v>176</v>
      </c>
      <c r="E12" s="99">
        <f t="shared" ref="E12:L12" si="6">$C$12/((E5/(1000*2))*(E5/(1000*2))*PI()*3600)</f>
        <v>5.7305842419011084</v>
      </c>
      <c r="F12" s="110">
        <f t="shared" si="6"/>
        <v>3.6647917613686851</v>
      </c>
      <c r="G12" s="108">
        <f t="shared" si="6"/>
        <v>2.6092642495486662</v>
      </c>
      <c r="H12" s="111">
        <f t="shared" si="6"/>
        <v>1.5207886555642065</v>
      </c>
      <c r="I12" s="99">
        <f t="shared" si="6"/>
        <v>0.99300793815088118</v>
      </c>
      <c r="J12" s="99">
        <f t="shared" si="6"/>
        <v>0.69801738121966306</v>
      </c>
      <c r="K12" s="99">
        <f t="shared" si="6"/>
        <v>0.39828554370205455</v>
      </c>
      <c r="L12" s="99">
        <f t="shared" si="6"/>
        <v>0.25711024346428019</v>
      </c>
      <c r="N12" s="100"/>
      <c r="R12" s="101"/>
      <c r="S12" s="101"/>
      <c r="T12" s="101"/>
      <c r="U12" s="101"/>
      <c r="V12" s="101"/>
      <c r="W12" s="101"/>
      <c r="X12" s="101"/>
      <c r="Y12" s="101"/>
    </row>
    <row r="13" spans="3:25" ht="14.25" thickBot="1">
      <c r="C13" s="102">
        <v>50</v>
      </c>
      <c r="D13" s="103" t="s">
        <v>177</v>
      </c>
      <c r="E13" s="99">
        <f t="shared" ref="E13:L13" si="7">$C$13/((E5/(1000*2))*(E5/(1000*2))*PI()*3600)</f>
        <v>6.3673158243345656</v>
      </c>
      <c r="F13" s="99">
        <f t="shared" si="7"/>
        <v>4.0719908459652059</v>
      </c>
      <c r="G13" s="109">
        <f t="shared" si="7"/>
        <v>2.8991824994985178</v>
      </c>
      <c r="H13" s="108">
        <f t="shared" si="7"/>
        <v>1.6897651728491183</v>
      </c>
      <c r="I13" s="107">
        <f t="shared" si="7"/>
        <v>1.1033421535009791</v>
      </c>
      <c r="J13" s="99">
        <f t="shared" si="7"/>
        <v>0.77557486802184783</v>
      </c>
      <c r="K13" s="99">
        <f t="shared" si="7"/>
        <v>0.44253949300228285</v>
      </c>
      <c r="L13" s="99">
        <f t="shared" si="7"/>
        <v>0.28567804829364463</v>
      </c>
      <c r="N13" s="100"/>
      <c r="R13" s="101"/>
      <c r="S13" s="101"/>
      <c r="T13" s="101"/>
      <c r="U13" s="101"/>
      <c r="V13" s="101"/>
      <c r="W13" s="101"/>
      <c r="X13" s="101"/>
      <c r="Y13" s="101"/>
    </row>
    <row r="14" spans="3:25" ht="14.25" thickBot="1">
      <c r="C14" s="102">
        <v>55</v>
      </c>
      <c r="D14" s="103" t="s">
        <v>177</v>
      </c>
      <c r="E14" s="99">
        <f t="shared" ref="E14:L14" si="8">$C$14/((E5/(1000*2))*(E5/(1000*2))*PI()*3600)</f>
        <v>7.0040474067680218</v>
      </c>
      <c r="F14" s="99">
        <f t="shared" si="8"/>
        <v>4.4791899305617262</v>
      </c>
      <c r="G14" s="110">
        <f t="shared" si="8"/>
        <v>3.1891007494483699</v>
      </c>
      <c r="H14" s="108">
        <f t="shared" si="8"/>
        <v>1.8587416901340301</v>
      </c>
      <c r="I14" s="107">
        <f t="shared" si="8"/>
        <v>1.213676368851077</v>
      </c>
      <c r="J14" s="99">
        <f t="shared" si="8"/>
        <v>0.8531323548240326</v>
      </c>
      <c r="K14" s="99">
        <f t="shared" si="8"/>
        <v>0.48679344230251115</v>
      </c>
      <c r="L14" s="99">
        <f t="shared" si="8"/>
        <v>0.31424585312300907</v>
      </c>
      <c r="N14" s="100"/>
      <c r="R14" s="101"/>
      <c r="S14" s="101"/>
      <c r="T14" s="101"/>
      <c r="U14" s="101"/>
      <c r="V14" s="101"/>
      <c r="W14" s="101"/>
      <c r="X14" s="101"/>
      <c r="Y14" s="101"/>
    </row>
    <row r="15" spans="3:25" ht="14.25" thickBot="1">
      <c r="C15" s="102">
        <v>60</v>
      </c>
      <c r="D15" s="103" t="s">
        <v>177</v>
      </c>
      <c r="E15" s="99">
        <f t="shared" ref="E15:L15" si="9">$C$15/((E5/(1000*2))*(E5/(1000*2))*PI()*3600)</f>
        <v>7.6407789892014781</v>
      </c>
      <c r="F15" s="99">
        <f t="shared" si="9"/>
        <v>4.8863890151582474</v>
      </c>
      <c r="G15" s="110">
        <f t="shared" si="9"/>
        <v>3.4790189993982215</v>
      </c>
      <c r="H15" s="108">
        <f t="shared" si="9"/>
        <v>2.0277182074189417</v>
      </c>
      <c r="I15" s="107">
        <f t="shared" si="9"/>
        <v>1.3240105842011749</v>
      </c>
      <c r="J15" s="99">
        <f t="shared" si="9"/>
        <v>0.93068984162621737</v>
      </c>
      <c r="K15" s="99">
        <f t="shared" si="9"/>
        <v>0.53104739160273939</v>
      </c>
      <c r="L15" s="99">
        <f t="shared" si="9"/>
        <v>0.34281365795237356</v>
      </c>
      <c r="N15" s="100"/>
      <c r="P15" s="30" t="s">
        <v>184</v>
      </c>
      <c r="R15" s="101"/>
      <c r="S15" s="101"/>
      <c r="T15" s="101"/>
      <c r="U15" s="101"/>
      <c r="V15" s="101"/>
      <c r="W15" s="101"/>
      <c r="X15" s="101"/>
      <c r="Y15" s="101"/>
    </row>
    <row r="16" spans="3:25" ht="14.25" thickBot="1">
      <c r="C16" s="102">
        <v>65</v>
      </c>
      <c r="D16" s="103" t="s">
        <v>177</v>
      </c>
      <c r="E16" s="99">
        <f t="shared" ref="E16:L16" si="10">$C$16/((E5/(1000*2))*(E5/(1000*2))*PI()*3600)</f>
        <v>8.2775105716349344</v>
      </c>
      <c r="F16" s="99">
        <f t="shared" si="10"/>
        <v>5.2935880997547677</v>
      </c>
      <c r="G16" s="110">
        <f t="shared" si="10"/>
        <v>3.7689372493480735</v>
      </c>
      <c r="H16" s="108">
        <f t="shared" si="10"/>
        <v>2.1966947247038537</v>
      </c>
      <c r="I16" s="107">
        <f t="shared" si="10"/>
        <v>1.4343447995512728</v>
      </c>
      <c r="J16" s="99">
        <f t="shared" si="10"/>
        <v>1.0082473284284021</v>
      </c>
      <c r="K16" s="99">
        <f t="shared" si="10"/>
        <v>0.5753013409029677</v>
      </c>
      <c r="L16" s="99">
        <f t="shared" si="10"/>
        <v>0.371381462781738</v>
      </c>
      <c r="N16" s="100"/>
      <c r="R16" s="101"/>
      <c r="S16" s="101"/>
      <c r="T16" s="101"/>
      <c r="U16" s="101"/>
      <c r="V16" s="101"/>
      <c r="W16" s="101"/>
      <c r="X16" s="101"/>
      <c r="Y16" s="101"/>
    </row>
    <row r="17" spans="3:25" ht="14.25" thickBot="1">
      <c r="C17" s="102">
        <v>70</v>
      </c>
      <c r="D17" s="103" t="s">
        <v>177</v>
      </c>
      <c r="E17" s="99">
        <f t="shared" ref="E17:L17" si="11">$C$17/((E5/(1000*2))*(E5/(1000*2))*PI()*3600)</f>
        <v>8.9142421540683916</v>
      </c>
      <c r="F17" s="99">
        <f t="shared" si="11"/>
        <v>5.7007871843512881</v>
      </c>
      <c r="G17" s="110">
        <f t="shared" si="11"/>
        <v>4.0588554992979251</v>
      </c>
      <c r="H17" s="108">
        <f t="shared" si="11"/>
        <v>2.3656712419887653</v>
      </c>
      <c r="I17" s="107">
        <f t="shared" si="11"/>
        <v>1.5446790149013707</v>
      </c>
      <c r="J17" s="99">
        <f t="shared" si="11"/>
        <v>1.085804815230587</v>
      </c>
      <c r="K17" s="99">
        <f t="shared" si="11"/>
        <v>0.619555290203196</v>
      </c>
      <c r="L17" s="99">
        <f t="shared" si="11"/>
        <v>0.3999492676111025</v>
      </c>
      <c r="N17" s="100"/>
      <c r="R17" s="101"/>
      <c r="S17" s="101"/>
      <c r="T17" s="101"/>
      <c r="U17" s="101"/>
      <c r="V17" s="101"/>
      <c r="W17" s="101"/>
      <c r="X17" s="101"/>
      <c r="Y17" s="101"/>
    </row>
    <row r="18" spans="3:25" ht="14.25" thickBot="1">
      <c r="C18" s="102">
        <v>75</v>
      </c>
      <c r="D18" s="103" t="s">
        <v>177</v>
      </c>
      <c r="E18" s="99">
        <f t="shared" ref="E18:L18" si="12">$C$18/((E5/(1000*2))*(E5/(1000*2))*PI()*3600)</f>
        <v>9.550973736501847</v>
      </c>
      <c r="F18" s="99">
        <f t="shared" si="12"/>
        <v>6.1079862689478093</v>
      </c>
      <c r="G18" s="110">
        <f t="shared" si="12"/>
        <v>4.3487737492477772</v>
      </c>
      <c r="H18" s="108">
        <f t="shared" si="12"/>
        <v>2.5346477592736774</v>
      </c>
      <c r="I18" s="111">
        <f t="shared" si="12"/>
        <v>1.6550132302514686</v>
      </c>
      <c r="J18" s="99">
        <f t="shared" si="12"/>
        <v>1.1633623020327717</v>
      </c>
      <c r="K18" s="99">
        <f t="shared" si="12"/>
        <v>0.6638092395034243</v>
      </c>
      <c r="L18" s="99">
        <f t="shared" si="12"/>
        <v>0.42851707244046694</v>
      </c>
      <c r="N18" s="100"/>
      <c r="R18" s="101"/>
      <c r="S18" s="101"/>
      <c r="T18" s="101"/>
      <c r="U18" s="101"/>
      <c r="V18" s="101"/>
      <c r="W18" s="101"/>
      <c r="X18" s="101"/>
      <c r="Y18" s="101"/>
    </row>
    <row r="19" spans="3:25" ht="14.25" thickBot="1">
      <c r="C19" s="102">
        <v>80</v>
      </c>
      <c r="D19" s="103" t="s">
        <v>177</v>
      </c>
      <c r="E19" s="99">
        <f t="shared" ref="E19:L19" si="13">$C$19/((E5/(1000*2))*(E5/(1000*2))*PI()*3600)</f>
        <v>10.187705318935304</v>
      </c>
      <c r="F19" s="99">
        <f t="shared" si="13"/>
        <v>6.5151853535443296</v>
      </c>
      <c r="G19" s="110">
        <f t="shared" si="13"/>
        <v>4.6386919991976292</v>
      </c>
      <c r="H19" s="114">
        <f t="shared" si="13"/>
        <v>2.7036242765585889</v>
      </c>
      <c r="I19" s="113">
        <f t="shared" si="13"/>
        <v>1.7653474456015665</v>
      </c>
      <c r="J19" s="107">
        <f t="shared" si="13"/>
        <v>1.2409197888349566</v>
      </c>
      <c r="K19" s="99">
        <f t="shared" si="13"/>
        <v>0.7080631888036526</v>
      </c>
      <c r="L19" s="99">
        <f t="shared" si="13"/>
        <v>0.45708487726983138</v>
      </c>
      <c r="M19" s="115" t="s">
        <v>185</v>
      </c>
      <c r="N19" s="100"/>
      <c r="R19" s="101"/>
      <c r="S19" s="101"/>
      <c r="T19" s="101"/>
      <c r="U19" s="101"/>
      <c r="V19" s="101"/>
      <c r="W19" s="101"/>
      <c r="X19" s="101"/>
      <c r="Y19" s="101"/>
    </row>
    <row r="20" spans="3:25" ht="14.25" thickBot="1">
      <c r="C20" s="102">
        <v>85</v>
      </c>
      <c r="D20" s="103" t="s">
        <v>178</v>
      </c>
      <c r="E20" s="99">
        <f>$C$20/((E5/(1000*2))*(E5/(1000*2))*PI()*3600)</f>
        <v>10.824436901368761</v>
      </c>
      <c r="F20" s="99">
        <f t="shared" ref="F20:L20" si="14">$C$20/((F5/(1000*2))*(F5/(1000*2))*PI()*3600)</f>
        <v>6.9223844381408499</v>
      </c>
      <c r="G20" s="99">
        <f t="shared" si="14"/>
        <v>4.9286102491474804</v>
      </c>
      <c r="H20" s="109">
        <f t="shared" si="14"/>
        <v>2.872600793843501</v>
      </c>
      <c r="I20" s="108">
        <f t="shared" si="14"/>
        <v>1.8756816609516644</v>
      </c>
      <c r="J20" s="107">
        <f t="shared" si="14"/>
        <v>1.3184772756371412</v>
      </c>
      <c r="K20" s="99">
        <f t="shared" si="14"/>
        <v>0.7523171381038809</v>
      </c>
      <c r="L20" s="99">
        <f t="shared" si="14"/>
        <v>0.48565268209919588</v>
      </c>
      <c r="N20" s="100"/>
      <c r="R20" s="101"/>
      <c r="S20" s="101"/>
      <c r="T20" s="101"/>
      <c r="U20" s="101"/>
      <c r="V20" s="101"/>
      <c r="W20" s="101"/>
      <c r="X20" s="101"/>
      <c r="Y20" s="101"/>
    </row>
    <row r="21" spans="3:25" ht="14.25" thickBot="1">
      <c r="C21" s="102">
        <v>90</v>
      </c>
      <c r="D21" s="103" t="s">
        <v>178</v>
      </c>
      <c r="E21" s="99">
        <f>$C$21/((E5/(1000*2))*(E5/(1000*2))*PI()*3600)</f>
        <v>11.461168483802217</v>
      </c>
      <c r="F21" s="99">
        <f t="shared" ref="F21:L21" si="15">$C$21/((F5/(1000*2))*(F5/(1000*2))*PI()*3600)</f>
        <v>7.3295835227373702</v>
      </c>
      <c r="G21" s="99">
        <f t="shared" si="15"/>
        <v>5.2185284990973324</v>
      </c>
      <c r="H21" s="110">
        <f t="shared" si="15"/>
        <v>3.041577311128413</v>
      </c>
      <c r="I21" s="108">
        <f t="shared" si="15"/>
        <v>1.9860158763017624</v>
      </c>
      <c r="J21" s="107">
        <f t="shared" si="15"/>
        <v>1.3960347624393261</v>
      </c>
      <c r="K21" s="99">
        <f t="shared" si="15"/>
        <v>0.79657108740410909</v>
      </c>
      <c r="L21" s="99">
        <f t="shared" si="15"/>
        <v>0.51422048692856037</v>
      </c>
      <c r="N21" s="100"/>
      <c r="R21" s="101"/>
      <c r="S21" s="101"/>
      <c r="T21" s="101"/>
      <c r="U21" s="101"/>
      <c r="V21" s="101"/>
      <c r="W21" s="101"/>
      <c r="X21" s="101"/>
      <c r="Y21" s="101"/>
    </row>
    <row r="22" spans="3:25" ht="14.25" thickBot="1">
      <c r="C22" s="102">
        <v>95</v>
      </c>
      <c r="D22" s="103" t="s">
        <v>178</v>
      </c>
      <c r="E22" s="99">
        <f t="shared" ref="E22:L22" si="16">$C$22/((E5/(1000*2))*(E5/(1000*2))*PI()*3600)</f>
        <v>12.097900066235674</v>
      </c>
      <c r="F22" s="99">
        <f t="shared" si="16"/>
        <v>7.7367826073338914</v>
      </c>
      <c r="G22" s="99">
        <f t="shared" si="16"/>
        <v>5.5084467490471845</v>
      </c>
      <c r="H22" s="110">
        <f t="shared" si="16"/>
        <v>3.2105538284133246</v>
      </c>
      <c r="I22" s="108">
        <f t="shared" si="16"/>
        <v>2.09635009165186</v>
      </c>
      <c r="J22" s="107">
        <f t="shared" si="16"/>
        <v>1.473592249241511</v>
      </c>
      <c r="K22" s="99">
        <f t="shared" si="16"/>
        <v>0.84082503670433739</v>
      </c>
      <c r="L22" s="99">
        <f t="shared" si="16"/>
        <v>0.54278829175792476</v>
      </c>
      <c r="N22" s="100"/>
      <c r="R22" s="101"/>
      <c r="S22" s="101"/>
      <c r="T22" s="101"/>
      <c r="U22" s="101"/>
      <c r="V22" s="101"/>
      <c r="W22" s="101"/>
      <c r="X22" s="101"/>
      <c r="Y22" s="101"/>
    </row>
    <row r="23" spans="3:25" ht="27.75" thickBot="1">
      <c r="C23" s="102">
        <v>100</v>
      </c>
      <c r="D23" s="104" t="s">
        <v>179</v>
      </c>
      <c r="E23" s="99">
        <f t="shared" ref="E23:L23" si="17">$C$23/((E5/(1000*2))*(E5/(1000*2))*PI()*3600)</f>
        <v>12.734631648669131</v>
      </c>
      <c r="F23" s="99">
        <f t="shared" si="17"/>
        <v>8.1439816919304118</v>
      </c>
      <c r="G23" s="99">
        <f t="shared" si="17"/>
        <v>5.7983649989970356</v>
      </c>
      <c r="H23" s="110">
        <f t="shared" si="17"/>
        <v>3.3795303456982366</v>
      </c>
      <c r="I23" s="108">
        <f t="shared" si="17"/>
        <v>2.2066843070019582</v>
      </c>
      <c r="J23" s="107">
        <f t="shared" si="17"/>
        <v>1.5511497360436957</v>
      </c>
      <c r="K23" s="99">
        <f t="shared" si="17"/>
        <v>0.88507898600456569</v>
      </c>
      <c r="L23" s="99">
        <f t="shared" si="17"/>
        <v>0.57135609658728925</v>
      </c>
      <c r="N23" s="100"/>
      <c r="R23" s="101"/>
      <c r="S23" s="101"/>
      <c r="T23" s="101"/>
      <c r="U23" s="101"/>
      <c r="V23" s="101"/>
      <c r="W23" s="101"/>
      <c r="X23" s="101"/>
      <c r="Y23" s="101"/>
    </row>
    <row r="24" spans="3:25" ht="27.75" thickBot="1">
      <c r="C24" s="102">
        <v>105</v>
      </c>
      <c r="D24" s="104" t="s">
        <v>180</v>
      </c>
      <c r="E24" s="99">
        <f t="shared" ref="E24:L24" si="18">$C$24/((E5/(1000*2))*(E5/(1000*2))*PI()*3600)</f>
        <v>13.371363231102587</v>
      </c>
      <c r="F24" s="99">
        <f t="shared" si="18"/>
        <v>8.5511807765269321</v>
      </c>
      <c r="G24" s="99">
        <f t="shared" si="18"/>
        <v>6.0882832489468877</v>
      </c>
      <c r="H24" s="110">
        <f t="shared" si="18"/>
        <v>3.5485068629831482</v>
      </c>
      <c r="I24" s="108">
        <f t="shared" si="18"/>
        <v>2.3170185223520559</v>
      </c>
      <c r="J24" s="107">
        <f t="shared" si="18"/>
        <v>1.6287072228458805</v>
      </c>
      <c r="K24" s="99">
        <f t="shared" si="18"/>
        <v>0.92933293530479399</v>
      </c>
      <c r="L24" s="99">
        <f t="shared" si="18"/>
        <v>0.59992390141665375</v>
      </c>
      <c r="N24" s="100"/>
      <c r="R24" s="101"/>
      <c r="S24" s="101"/>
      <c r="T24" s="101"/>
      <c r="U24" s="101"/>
      <c r="V24" s="101"/>
      <c r="W24" s="101"/>
      <c r="X24" s="101"/>
      <c r="Y24" s="101"/>
    </row>
    <row r="25" spans="3:25" ht="27.75" thickBot="1">
      <c r="C25" s="102">
        <v>110</v>
      </c>
      <c r="D25" s="104" t="s">
        <v>180</v>
      </c>
      <c r="E25" s="99">
        <f t="shared" ref="E25:L25" si="19">$C$25/((E5/(1000*2))*(E5/(1000*2))*PI()*3600)</f>
        <v>14.008094813536044</v>
      </c>
      <c r="F25" s="99">
        <f t="shared" si="19"/>
        <v>8.9583798611234524</v>
      </c>
      <c r="G25" s="99"/>
      <c r="H25" s="110">
        <f t="shared" si="19"/>
        <v>3.7174833802680602</v>
      </c>
      <c r="I25" s="108">
        <f t="shared" si="19"/>
        <v>2.427352737702154</v>
      </c>
      <c r="J25" s="107">
        <f t="shared" si="19"/>
        <v>1.7062647096480652</v>
      </c>
      <c r="K25" s="99">
        <f t="shared" si="19"/>
        <v>0.9735868846050223</v>
      </c>
      <c r="L25" s="99">
        <f t="shared" si="19"/>
        <v>0.62849170624601813</v>
      </c>
      <c r="N25" s="100"/>
      <c r="R25" s="101"/>
      <c r="S25" s="101"/>
      <c r="T25" s="101"/>
      <c r="U25" s="101"/>
      <c r="V25" s="101"/>
      <c r="W25" s="101"/>
      <c r="X25" s="101"/>
      <c r="Y25" s="101"/>
    </row>
    <row r="26" spans="3:25" ht="27.75" thickBot="1">
      <c r="C26" s="102">
        <v>115</v>
      </c>
      <c r="D26" s="104" t="s">
        <v>180</v>
      </c>
      <c r="E26" s="99">
        <f t="shared" ref="E26:L26" si="20">$C$26/((E5/(1000*2))*(E5/(1000*2))*PI()*3600)</f>
        <v>14.644826395969501</v>
      </c>
      <c r="F26" s="99">
        <f t="shared" si="20"/>
        <v>9.3655789457199727</v>
      </c>
      <c r="G26" s="99">
        <f t="shared" si="20"/>
        <v>6.6681197488465918</v>
      </c>
      <c r="H26" s="110">
        <f t="shared" si="20"/>
        <v>3.8864598975529718</v>
      </c>
      <c r="I26" s="108">
        <f t="shared" si="20"/>
        <v>2.5376869530522517</v>
      </c>
      <c r="J26" s="111">
        <f t="shared" si="20"/>
        <v>1.7838221964502501</v>
      </c>
      <c r="K26" s="99">
        <f t="shared" si="20"/>
        <v>1.0178408339052505</v>
      </c>
      <c r="L26" s="99">
        <f t="shared" si="20"/>
        <v>0.65705951107538263</v>
      </c>
      <c r="N26" s="100"/>
      <c r="R26" s="101"/>
      <c r="S26" s="101"/>
      <c r="T26" s="101"/>
      <c r="U26" s="101"/>
      <c r="V26" s="101"/>
      <c r="W26" s="101"/>
      <c r="X26" s="101"/>
      <c r="Y26" s="101"/>
    </row>
    <row r="27" spans="3:25" ht="27.75" thickBot="1">
      <c r="C27" s="102">
        <v>120</v>
      </c>
      <c r="D27" s="104" t="s">
        <v>181</v>
      </c>
      <c r="E27" s="99">
        <f t="shared" ref="E27:L27" si="21">$C$27/((E5/(1000*2))*(E5/(1000*2))*PI()*3600)</f>
        <v>15.281557978402956</v>
      </c>
      <c r="F27" s="99">
        <f t="shared" si="21"/>
        <v>9.7727780303164948</v>
      </c>
      <c r="G27" s="99">
        <f t="shared" si="21"/>
        <v>6.9580379987964429</v>
      </c>
      <c r="H27" s="99">
        <f t="shared" si="21"/>
        <v>4.0554364148378834</v>
      </c>
      <c r="I27" s="109">
        <f t="shared" si="21"/>
        <v>2.6480211684023498</v>
      </c>
      <c r="J27" s="108">
        <f t="shared" si="21"/>
        <v>1.8613796832524347</v>
      </c>
      <c r="K27" s="107">
        <f t="shared" si="21"/>
        <v>1.0620947832054788</v>
      </c>
      <c r="L27" s="99">
        <f t="shared" si="21"/>
        <v>0.68562731590474713</v>
      </c>
      <c r="N27" s="100"/>
      <c r="R27" s="101"/>
      <c r="S27" s="101"/>
      <c r="T27" s="101"/>
      <c r="U27" s="101"/>
      <c r="V27" s="101"/>
      <c r="W27" s="101"/>
      <c r="X27" s="101"/>
      <c r="Y27" s="101"/>
    </row>
    <row r="28" spans="3:25" ht="27.75" thickBot="1">
      <c r="C28" s="102">
        <v>125</v>
      </c>
      <c r="D28" s="104" t="s">
        <v>181</v>
      </c>
      <c r="E28" s="99">
        <f t="shared" ref="E28:L28" si="22">$C$28/((E5/(1000*2))*(E5/(1000*2))*PI()*3600)</f>
        <v>15.918289560836413</v>
      </c>
      <c r="F28" s="99">
        <f t="shared" si="22"/>
        <v>10.179977114913015</v>
      </c>
      <c r="G28" s="99">
        <f t="shared" si="22"/>
        <v>7.247956248746295</v>
      </c>
      <c r="H28" s="99">
        <f t="shared" si="22"/>
        <v>4.2244129321227959</v>
      </c>
      <c r="I28" s="110">
        <f t="shared" si="22"/>
        <v>2.7583553837524475</v>
      </c>
      <c r="J28" s="108">
        <f t="shared" si="22"/>
        <v>1.9389371700546196</v>
      </c>
      <c r="K28" s="107">
        <f t="shared" si="22"/>
        <v>1.1063487325057071</v>
      </c>
      <c r="L28" s="99">
        <f t="shared" si="22"/>
        <v>0.71419512073411162</v>
      </c>
      <c r="N28" s="100"/>
      <c r="R28" s="101"/>
      <c r="S28" s="101"/>
      <c r="T28" s="101"/>
      <c r="U28" s="101"/>
      <c r="V28" s="101"/>
      <c r="W28" s="101"/>
      <c r="X28" s="101"/>
      <c r="Y28" s="101"/>
    </row>
    <row r="29" spans="3:25" ht="27.75" thickBot="1">
      <c r="C29" s="102">
        <v>130</v>
      </c>
      <c r="D29" s="104" t="s">
        <v>181</v>
      </c>
      <c r="E29" s="99">
        <f t="shared" ref="E29:L29" si="23">$C$29/((E5/(1000*2))*(E5/(1000*2))*PI()*3600)</f>
        <v>16.555021143269869</v>
      </c>
      <c r="F29" s="99">
        <f t="shared" si="23"/>
        <v>10.587176199509535</v>
      </c>
      <c r="G29" s="99">
        <f t="shared" si="23"/>
        <v>7.537874498696147</v>
      </c>
      <c r="H29" s="99">
        <f t="shared" si="23"/>
        <v>4.3933894494077075</v>
      </c>
      <c r="I29" s="110">
        <f t="shared" si="23"/>
        <v>2.8686895991025456</v>
      </c>
      <c r="J29" s="108">
        <f t="shared" si="23"/>
        <v>2.0164946568568043</v>
      </c>
      <c r="K29" s="107">
        <f t="shared" si="23"/>
        <v>1.1506026818059354</v>
      </c>
      <c r="L29" s="99">
        <f t="shared" si="23"/>
        <v>0.74276292556347601</v>
      </c>
      <c r="N29" s="100"/>
      <c r="R29" s="101"/>
      <c r="S29" s="101"/>
      <c r="T29" s="101"/>
      <c r="U29" s="101"/>
      <c r="V29" s="101"/>
      <c r="W29" s="101"/>
      <c r="X29" s="101"/>
      <c r="Y29" s="101"/>
    </row>
    <row r="30" spans="3:25" ht="14.25" thickBot="1">
      <c r="C30" s="102">
        <v>135</v>
      </c>
      <c r="D30" s="105" t="s">
        <v>182</v>
      </c>
      <c r="E30" s="99">
        <f t="shared" ref="E30:L30" si="24">$C$30/((E5/(1000*2))*(E5/(1000*2))*PI()*3600)</f>
        <v>17.191752725703328</v>
      </c>
      <c r="F30" s="99">
        <f t="shared" si="24"/>
        <v>10.994375284106056</v>
      </c>
      <c r="G30" s="99">
        <f t="shared" si="24"/>
        <v>7.8277927486459982</v>
      </c>
      <c r="H30" s="99">
        <f t="shared" si="24"/>
        <v>4.5623659666926191</v>
      </c>
      <c r="I30" s="110">
        <f t="shared" si="24"/>
        <v>2.9790238144526433</v>
      </c>
      <c r="J30" s="108">
        <f t="shared" si="24"/>
        <v>2.0940521436589892</v>
      </c>
      <c r="K30" s="107">
        <f t="shared" si="24"/>
        <v>1.1948566311061637</v>
      </c>
      <c r="L30" s="99">
        <f t="shared" si="24"/>
        <v>0.7713307303928405</v>
      </c>
      <c r="N30" s="100"/>
      <c r="R30" s="101"/>
      <c r="S30" s="101"/>
      <c r="T30" s="101"/>
      <c r="U30" s="101"/>
      <c r="V30" s="101"/>
      <c r="W30" s="101"/>
      <c r="X30" s="101"/>
      <c r="Y30" s="101"/>
    </row>
    <row r="31" spans="3:25" ht="14.25" thickBot="1">
      <c r="C31" s="102">
        <v>140</v>
      </c>
      <c r="D31" s="105" t="s">
        <v>182</v>
      </c>
      <c r="E31" s="99">
        <f>$C$31/((E5/(1000*2))*(E5/(1000*2))*PI()*3600)</f>
        <v>17.828484308136783</v>
      </c>
      <c r="F31" s="99">
        <f t="shared" ref="F31:L31" si="25">$C$31/((F5/(1000*2))*(F5/(1000*2))*PI()*3600)</f>
        <v>11.401574368702576</v>
      </c>
      <c r="G31" s="99">
        <f t="shared" si="25"/>
        <v>8.1177109985958502</v>
      </c>
      <c r="H31" s="99">
        <f t="shared" si="25"/>
        <v>4.7313424839775307</v>
      </c>
      <c r="I31" s="110">
        <f t="shared" si="25"/>
        <v>3.0893580298027414</v>
      </c>
      <c r="J31" s="108">
        <f t="shared" si="25"/>
        <v>2.1716096304611741</v>
      </c>
      <c r="K31" s="107">
        <f t="shared" si="25"/>
        <v>1.239110580406392</v>
      </c>
      <c r="L31" s="99">
        <f t="shared" si="25"/>
        <v>0.799898535222205</v>
      </c>
      <c r="N31" s="100"/>
      <c r="R31" s="101"/>
      <c r="S31" s="101"/>
      <c r="T31" s="101"/>
      <c r="U31" s="101"/>
      <c r="V31" s="101"/>
      <c r="W31" s="101"/>
      <c r="X31" s="101"/>
      <c r="Y31" s="101"/>
    </row>
    <row r="32" spans="3:25" ht="14.25" thickBot="1">
      <c r="C32" s="102">
        <v>145</v>
      </c>
      <c r="D32" s="105" t="s">
        <v>182</v>
      </c>
      <c r="E32" s="99">
        <f>$C$32/((E5/(1000*2))*(E5/(1000*2))*PI()*3600)</f>
        <v>18.465215890570239</v>
      </c>
      <c r="F32" s="99">
        <f t="shared" ref="F32:L32" si="26">$C$32/((F5/(1000*2))*(F5/(1000*2))*PI()*3600)</f>
        <v>11.808773453299096</v>
      </c>
      <c r="G32" s="99">
        <f t="shared" si="26"/>
        <v>8.4076292485457014</v>
      </c>
      <c r="H32" s="99">
        <f t="shared" si="26"/>
        <v>4.9003190012624431</v>
      </c>
      <c r="I32" s="110">
        <f t="shared" si="26"/>
        <v>3.1996922451528391</v>
      </c>
      <c r="J32" s="108">
        <f t="shared" si="26"/>
        <v>2.2491671172633589</v>
      </c>
      <c r="K32" s="107">
        <f t="shared" si="26"/>
        <v>1.2833645297066203</v>
      </c>
      <c r="L32" s="99">
        <f t="shared" si="26"/>
        <v>0.82846634005156938</v>
      </c>
      <c r="N32" s="100"/>
      <c r="R32" s="101"/>
      <c r="S32" s="101"/>
      <c r="T32" s="101"/>
      <c r="U32" s="101"/>
      <c r="V32" s="101"/>
      <c r="W32" s="101"/>
      <c r="X32" s="101"/>
      <c r="Y32" s="101"/>
    </row>
    <row r="33" spans="3:25" ht="14.25" thickBot="1">
      <c r="C33" s="102">
        <v>150</v>
      </c>
      <c r="D33" s="105" t="s">
        <v>182</v>
      </c>
      <c r="E33" s="99">
        <f>$C$33/((E5/(1000*2))*(E5/(1000*2))*PI()*3600)</f>
        <v>19.101947473003694</v>
      </c>
      <c r="F33" s="99">
        <f t="shared" ref="F33:L33" si="27">$C$33/((F5/(1000*2))*(F5/(1000*2))*PI()*3600)</f>
        <v>12.215972537895619</v>
      </c>
      <c r="G33" s="99">
        <f t="shared" si="27"/>
        <v>8.6975474984955543</v>
      </c>
      <c r="H33" s="99">
        <f t="shared" si="27"/>
        <v>5.0692955185473547</v>
      </c>
      <c r="I33" s="110">
        <f t="shared" si="27"/>
        <v>3.3100264605029373</v>
      </c>
      <c r="J33" s="108">
        <f t="shared" si="27"/>
        <v>2.3267246040655434</v>
      </c>
      <c r="K33" s="107">
        <f t="shared" si="27"/>
        <v>1.3276184790068486</v>
      </c>
      <c r="L33" s="99">
        <f t="shared" si="27"/>
        <v>0.85703414488093388</v>
      </c>
      <c r="N33" s="100"/>
      <c r="R33" s="101"/>
      <c r="S33" s="101"/>
      <c r="T33" s="101"/>
      <c r="U33" s="101"/>
      <c r="V33" s="101"/>
      <c r="W33" s="101"/>
      <c r="X33" s="101"/>
      <c r="Y33" s="101"/>
    </row>
    <row r="34" spans="3:25" ht="14.25" thickBot="1">
      <c r="C34" s="102">
        <v>155</v>
      </c>
      <c r="D34" s="105" t="s">
        <v>182</v>
      </c>
      <c r="E34" s="99">
        <f>$C$34/((E5/(1000*2))*(E5/(1000*2))*PI()*3600)</f>
        <v>19.738679055437153</v>
      </c>
      <c r="F34" s="99">
        <f t="shared" ref="F34:L34" si="28">$C$34/((F5/(1000*2))*(F5/(1000*2))*PI()*3600)</f>
        <v>12.623171622492139</v>
      </c>
      <c r="G34" s="99">
        <f t="shared" si="28"/>
        <v>8.9874657484454055</v>
      </c>
      <c r="H34" s="99">
        <f t="shared" si="28"/>
        <v>5.2382720358322663</v>
      </c>
      <c r="I34" s="110">
        <f t="shared" si="28"/>
        <v>3.4203606758530349</v>
      </c>
      <c r="J34" s="108">
        <f t="shared" si="28"/>
        <v>2.4042820908677283</v>
      </c>
      <c r="K34" s="107">
        <f t="shared" si="28"/>
        <v>1.3718724283070769</v>
      </c>
      <c r="L34" s="99">
        <f t="shared" si="28"/>
        <v>0.88560194971029838</v>
      </c>
      <c r="N34" s="100"/>
      <c r="R34" s="101"/>
      <c r="S34" s="101"/>
      <c r="T34" s="101"/>
      <c r="U34" s="101"/>
      <c r="V34" s="101"/>
      <c r="W34" s="101"/>
      <c r="X34" s="101"/>
      <c r="Y34" s="101"/>
    </row>
    <row r="35" spans="3:25" ht="14.25" thickBot="1">
      <c r="C35" s="102">
        <v>160</v>
      </c>
      <c r="D35" s="105" t="s">
        <v>182</v>
      </c>
      <c r="E35" s="99">
        <f>$C$35/((E5/(1000*2))*(E5/(1000*2))*PI()*3600)</f>
        <v>20.375410637870608</v>
      </c>
      <c r="F35" s="99">
        <f t="shared" ref="F35:L35" si="29">$C$35/((F5/(1000*2))*(F5/(1000*2))*PI()*3600)</f>
        <v>13.030370707088659</v>
      </c>
      <c r="G35" s="99">
        <f t="shared" si="29"/>
        <v>9.2773839983952584</v>
      </c>
      <c r="H35" s="99">
        <f t="shared" si="29"/>
        <v>5.4072485531171779</v>
      </c>
      <c r="I35" s="110">
        <f t="shared" si="29"/>
        <v>3.5306948912031331</v>
      </c>
      <c r="J35" s="108">
        <f t="shared" si="29"/>
        <v>2.4818395776699131</v>
      </c>
      <c r="K35" s="107">
        <f t="shared" si="29"/>
        <v>1.4161263776073052</v>
      </c>
      <c r="L35" s="99">
        <f t="shared" si="29"/>
        <v>0.91416975453966276</v>
      </c>
      <c r="N35" s="100"/>
      <c r="R35" s="101"/>
      <c r="S35" s="101"/>
      <c r="T35" s="101"/>
      <c r="U35" s="101"/>
      <c r="V35" s="101"/>
      <c r="W35" s="101"/>
      <c r="X35" s="101"/>
      <c r="Y35" s="101"/>
    </row>
    <row r="36" spans="3:25" ht="14.25" thickBot="1">
      <c r="C36" s="102">
        <v>165</v>
      </c>
      <c r="D36" s="105" t="s">
        <v>182</v>
      </c>
      <c r="E36" s="99">
        <f>$C$36/((E5/(1000*2))*(E5/(1000*2))*PI()*3600)</f>
        <v>21.012142220304064</v>
      </c>
      <c r="F36" s="99">
        <f t="shared" ref="F36:L36" si="30">$C$36/((F5/(1000*2))*(F5/(1000*2))*PI()*3600)</f>
        <v>13.43756979168518</v>
      </c>
      <c r="G36" s="99">
        <f t="shared" si="30"/>
        <v>9.5673022483451096</v>
      </c>
      <c r="H36" s="99">
        <f t="shared" si="30"/>
        <v>5.5762250704020904</v>
      </c>
      <c r="I36" s="110">
        <f t="shared" si="30"/>
        <v>3.6410291065532308</v>
      </c>
      <c r="J36" s="108">
        <f t="shared" si="30"/>
        <v>2.559397064472098</v>
      </c>
      <c r="K36" s="107">
        <f t="shared" si="30"/>
        <v>1.4603803269075335</v>
      </c>
      <c r="L36" s="99">
        <f t="shared" si="30"/>
        <v>0.94273755936902726</v>
      </c>
      <c r="N36" s="100"/>
      <c r="R36" s="101"/>
      <c r="S36" s="101"/>
      <c r="T36" s="101"/>
      <c r="U36" s="101"/>
      <c r="V36" s="101"/>
      <c r="W36" s="101"/>
      <c r="X36" s="101"/>
      <c r="Y36" s="101"/>
    </row>
    <row r="37" spans="3:25" ht="14.25" thickBot="1">
      <c r="C37" s="102">
        <v>170</v>
      </c>
      <c r="D37" s="105" t="s">
        <v>182</v>
      </c>
      <c r="E37" s="99">
        <f>$C$37/((E5/(1000*2))*(E5/(1000*2))*PI()*3600)</f>
        <v>21.648873802737523</v>
      </c>
      <c r="F37" s="99">
        <f t="shared" ref="F37:L37" si="31">$C$37/((F5/(1000*2))*(F5/(1000*2))*PI()*3600)</f>
        <v>13.8447688762817</v>
      </c>
      <c r="G37" s="99">
        <f t="shared" si="31"/>
        <v>9.8572204982949607</v>
      </c>
      <c r="H37" s="99">
        <f t="shared" si="31"/>
        <v>5.745201587687002</v>
      </c>
      <c r="I37" s="110">
        <f t="shared" si="31"/>
        <v>3.7513633219033289</v>
      </c>
      <c r="J37" s="108">
        <f t="shared" si="31"/>
        <v>2.6369545512742825</v>
      </c>
      <c r="K37" s="107">
        <f t="shared" si="31"/>
        <v>1.5046342762077618</v>
      </c>
      <c r="L37" s="99">
        <f t="shared" si="31"/>
        <v>0.97130536419839175</v>
      </c>
      <c r="N37" s="100"/>
      <c r="R37" s="101"/>
      <c r="S37" s="101"/>
      <c r="T37" s="101"/>
      <c r="U37" s="101"/>
      <c r="V37" s="101"/>
      <c r="W37" s="101"/>
      <c r="X37" s="101"/>
      <c r="Y37" s="101"/>
    </row>
    <row r="38" spans="3:25" ht="14.25" thickBot="1">
      <c r="C38" s="102">
        <v>175</v>
      </c>
      <c r="D38" s="105" t="s">
        <v>182</v>
      </c>
      <c r="E38" s="99">
        <f>$C$38/((E5/(1000*2))*(E5/(1000*2))*PI()*3600)</f>
        <v>22.285605385170978</v>
      </c>
      <c r="F38" s="99">
        <f t="shared" ref="F38:L38" si="32">$C$38/((F5/(1000*2))*(F5/(1000*2))*PI()*3600)</f>
        <v>14.25196796087822</v>
      </c>
      <c r="G38" s="99">
        <f t="shared" si="32"/>
        <v>10.147138748244814</v>
      </c>
      <c r="H38" s="99">
        <f t="shared" si="32"/>
        <v>5.9141781049719135</v>
      </c>
      <c r="I38" s="110">
        <f t="shared" si="32"/>
        <v>3.8616975372534266</v>
      </c>
      <c r="J38" s="108">
        <f t="shared" si="32"/>
        <v>2.7145120380764673</v>
      </c>
      <c r="K38" s="107">
        <f t="shared" si="32"/>
        <v>1.5488882255079901</v>
      </c>
      <c r="L38" s="99">
        <f t="shared" si="32"/>
        <v>0.99987316902775625</v>
      </c>
      <c r="N38" s="100"/>
      <c r="R38" s="101"/>
      <c r="S38" s="101"/>
      <c r="T38" s="101"/>
      <c r="U38" s="101"/>
      <c r="V38" s="101"/>
      <c r="W38" s="101"/>
      <c r="X38" s="101"/>
      <c r="Y38" s="101"/>
    </row>
    <row r="39" spans="3:25" ht="14.25" thickBot="1">
      <c r="C39" s="102">
        <v>180</v>
      </c>
      <c r="D39" s="105" t="s">
        <v>182</v>
      </c>
      <c r="E39" s="99">
        <f>$C$39/((E5/(1000*2))*(E5/(1000*2))*PI()*3600)</f>
        <v>22.922336967604434</v>
      </c>
      <c r="F39" s="99">
        <f t="shared" ref="F39:L39" si="33">$C$39/((F5/(1000*2))*(F5/(1000*2))*PI()*3600)</f>
        <v>14.65916704547474</v>
      </c>
      <c r="G39" s="99">
        <f t="shared" si="33"/>
        <v>10.437056998194665</v>
      </c>
      <c r="H39" s="99">
        <f t="shared" si="33"/>
        <v>6.083154622256826</v>
      </c>
      <c r="I39" s="110">
        <f t="shared" si="33"/>
        <v>3.9720317526035247</v>
      </c>
      <c r="J39" s="108">
        <f t="shared" si="33"/>
        <v>2.7920695248786522</v>
      </c>
      <c r="K39" s="107">
        <f t="shared" si="33"/>
        <v>1.5931421748082182</v>
      </c>
      <c r="L39" s="99">
        <f t="shared" si="33"/>
        <v>1.0284409738571207</v>
      </c>
      <c r="N39" s="100"/>
      <c r="R39" s="101"/>
      <c r="S39" s="101"/>
      <c r="T39" s="101"/>
      <c r="U39" s="101"/>
      <c r="V39" s="101"/>
      <c r="W39" s="101"/>
      <c r="X39" s="101"/>
      <c r="Y39" s="101"/>
    </row>
    <row r="41" spans="3:25">
      <c r="E41" s="31" t="s">
        <v>172</v>
      </c>
    </row>
  </sheetData>
  <mergeCells count="3">
    <mergeCell ref="E3:L3"/>
    <mergeCell ref="C3:C4"/>
    <mergeCell ref="D3:D4"/>
  </mergeCells>
  <phoneticPr fontId="1" type="noConversion"/>
  <conditionalFormatting sqref="E6:L39">
    <cfRule type="expression" dxfId="0" priority="1">
      <formula>NOT(MIN(ABS($M$2-$E6:$L6))-ABS($M$2-E6))</formula>
    </cfRule>
  </conditionalFormatting>
  <pageMargins left="0.7" right="0.7" top="0.75" bottom="0.75" header="0.3" footer="0.3"/>
  <pageSetup paperSize="9" scale="69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2</vt:i4>
      </vt:variant>
    </vt:vector>
  </HeadingPairs>
  <TitlesOfParts>
    <vt:vector size="7" baseType="lpstr">
      <vt:lpstr>1. Check list</vt:lpstr>
      <vt:lpstr>2. 배관 계산</vt:lpstr>
      <vt:lpstr>3. ANU 선정표</vt:lpstr>
      <vt:lpstr>4. PRU 발열량</vt:lpstr>
      <vt:lpstr>5. Mixing pipe line</vt:lpstr>
      <vt:lpstr>'1. Check list'!Print_Area</vt:lpstr>
      <vt:lpstr>'5. Mixing pipe line'!Print_Area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20131023B</dc:creator>
  <cp:lastModifiedBy>우석</cp:lastModifiedBy>
  <cp:lastPrinted>2025-01-07T07:22:29Z</cp:lastPrinted>
  <dcterms:created xsi:type="dcterms:W3CDTF">2017-01-02T06:03:31Z</dcterms:created>
  <dcterms:modified xsi:type="dcterms:W3CDTF">2025-06-23T06:23:11Z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Aibm9kZUNvdW50IjogNjYsICJub2RlMSIgOiB7ImRzZCI6IjAxMDAwMDAwMDAwMDIwMTAiLCJsb2dUaW1lIjoiMjAyNS0wMS0yNFQwMjoyNDowOVoiLCJwSUQiOjEsInByb2Nlc3NOYW1lIjoiRVhDRUwuRVhFIiwidHJhY2VJZCI6Ijk3NzZGNDBCREIxMzQ2NEFBRUE4Nzk3NzkxNzVENDZCIiwidXNlckNvZGUiOiJraW1qZTE5OTQifSwibm9kZTIiIDogeyJkc2QiOiIwMTAwMDAwMDAwMDAyMDEwIiwibG9nVGltZSI6IjIwMjUtMDQtMDRUMDI6MTk6MjJaIiwicElEIjoxLCJwcm9jZXNzTmFtZSI6IkVYQ0VMLkVYRSIsInRyYWNlSWQiOiJEODhDNkRGODJDRTk0MzMyOEVDOEE1ODdEQkUxMzMxNyIsInVzZXJDb2RlIjoia2ltamUxOTk0In0sIm5vZGUzIiA6IHsiZHNkIjoiMDEwMDAwMDAwMDAwMjAxMCIsImxvZ1RpbWUiOiIyMDI1LTA1LTI2VDAxOjEwOjM5WiIsInBJRCI6MSwicHJvY2Vzc05hbWUiOiJFWENFTC5FWEUiLCJ0cmFjZUlkIjoiRUY5RUI0MEJENTMzNEZEQjlBN0M1QzRDRDczNThEMUQiLCJ1c2VyQ29kZSI6ImtpbWplMTk5NCJ9LCJub2RlNCIgOiB7ImRzZCI6IjAxMDAwMDAwMDAwMDIwMTAiLCJsb2dUaW1lIjoiMjAyNS0wNi0yM1QwNjoxNjoxMVoiLCJwSUQiOjEsInByb2Nlc3NJZCI6MjAxOTIsInByb2Nlc3NOYW1lIjoiRVhDRUwuRVhFIiwidHJhY2VJZCI6IjIwRDFBOEVBODc0RDRGMUE4REUyMTYxMkZGNkZDREREIiwidXNlckNvZGUiOiJraW1qZTE5OTQifSwibm9kZTUiIDogeyAidXNlckNvZGUiIDogIm5lb3VsIiwgInRyYWNlSWQiIDogIkY2NzlGQ0ZEQ0UxRkI0RTUxNjBFNEUxMTVFNURDOTkxIiwgImRzZCIgOiAiMDAwMDAwMDAwMDAwMDAwMCIsICJwSUQiIDogIjIwNDgiLCAibG9nVGltZSIgOiAiMjAyNi0wMS0wNFQyMzo0NTo0NloiIH19</vt:lpwstr>
  </property>
</Properties>
</file>