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01.호선업무\2.신조호선 (계약)\3.중국\YZJ2023-1584_1585 ECS 1000B MIX\"/>
    </mc:Choice>
  </mc:AlternateContent>
  <xr:revisionPtr revIDLastSave="0" documentId="13_ncr:1_{0832E4F5-2C63-4BB0-84C8-7517A21FE4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3년" sheetId="6" r:id="rId1"/>
  </sheets>
  <definedNames>
    <definedName name="_xlnm.Print_Area" localSheetId="0">'2023년'!$A$1:$K$26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6" l="1"/>
  <c r="E16" i="6"/>
  <c r="E15" i="6"/>
  <c r="E14" i="6"/>
  <c r="E10" i="6"/>
  <c r="E17" i="6"/>
  <c r="E20" i="6"/>
  <c r="E13" i="6"/>
  <c r="E11" i="6"/>
  <c r="E23" i="6"/>
  <c r="E22" i="6"/>
  <c r="E7" i="6"/>
  <c r="E8" i="6"/>
  <c r="E9" i="6"/>
  <c r="E6" i="6"/>
</calcChain>
</file>

<file path=xl/sharedStrings.xml><?xml version="1.0" encoding="utf-8"?>
<sst xmlns="http://schemas.openxmlformats.org/spreadsheetml/2006/main" count="100" uniqueCount="64">
  <si>
    <t>APT</t>
    <phoneticPr fontId="1" type="noConversion"/>
  </si>
  <si>
    <t>BWT</t>
    <phoneticPr fontId="1" type="noConversion"/>
  </si>
  <si>
    <t>DESCRIPTION</t>
    <phoneticPr fontId="1" type="noConversion"/>
  </si>
  <si>
    <t>STRIPPING</t>
  </si>
  <si>
    <t>OV'BD V/V</t>
  </si>
  <si>
    <t>MIXING BYPASS V/V</t>
  </si>
  <si>
    <t>BALLAST P/P</t>
  </si>
  <si>
    <t>BALLAST P/P</t>
    <phoneticPr fontId="1" type="noConversion"/>
  </si>
  <si>
    <t>SIGNAL</t>
    <phoneticPr fontId="1" type="noConversion"/>
  </si>
  <si>
    <t>L/S</t>
    <phoneticPr fontId="1" type="noConversion"/>
  </si>
  <si>
    <t>BWMS ABNORMAL</t>
    <phoneticPr fontId="1" type="noConversion"/>
  </si>
  <si>
    <t>STRIPPING</t>
    <phoneticPr fontId="1" type="noConversion"/>
  </si>
  <si>
    <t>MIXING V/V</t>
    <phoneticPr fontId="1" type="noConversion"/>
  </si>
  <si>
    <t>Valve type</t>
    <phoneticPr fontId="1" type="noConversion"/>
  </si>
  <si>
    <t>(BWMS:ABNORMAL=SIGNAL:OFF)</t>
    <phoneticPr fontId="1" type="noConversion"/>
  </si>
  <si>
    <t>순번</t>
    <phoneticPr fontId="1" type="noConversion"/>
  </si>
  <si>
    <t>(V/V:FULL OPEN=SIGNAL:ON)</t>
    <phoneticPr fontId="1" type="noConversion"/>
  </si>
  <si>
    <t xml:space="preserve">PUMP SIGNAL </t>
    <phoneticPr fontId="1" type="noConversion"/>
  </si>
  <si>
    <t>(PUMP:RUN=SIGNAL:ON)</t>
    <phoneticPr fontId="1" type="noConversion"/>
  </si>
  <si>
    <t>(V/V:LITTLE OPEN=SIGNAL:ON)</t>
    <phoneticPr fontId="1" type="noConversion"/>
  </si>
  <si>
    <t xml:space="preserve">COOLING F.W. INLET V/V FOR PRU </t>
    <phoneticPr fontId="1" type="noConversion"/>
  </si>
  <si>
    <t>Required valve (조건 밸브)</t>
    <phoneticPr fontId="1" type="noConversion"/>
  </si>
  <si>
    <t>공통 ABNORMAL</t>
    <phoneticPr fontId="1" type="noConversion"/>
  </si>
  <si>
    <t>GRAVITY</t>
    <phoneticPr fontId="1" type="noConversion"/>
  </si>
  <si>
    <t>EDUCTOR</t>
    <phoneticPr fontId="1" type="noConversion"/>
  </si>
  <si>
    <t>ECU INLET V/V</t>
    <phoneticPr fontId="1" type="noConversion"/>
  </si>
  <si>
    <t>ECU BYPASS V/V</t>
    <phoneticPr fontId="1" type="noConversion"/>
  </si>
  <si>
    <t>없음</t>
    <phoneticPr fontId="1" type="noConversion"/>
  </si>
  <si>
    <t>밸브 타입</t>
    <phoneticPr fontId="1" type="noConversion"/>
  </si>
  <si>
    <t>Alarm By-pass valve (알람 밸브)</t>
    <phoneticPr fontId="1" type="noConversion"/>
  </si>
  <si>
    <t>← 호선에 해당되지 않는 부분 "없음" 이라 표현하면 됩니다.</t>
    <phoneticPr fontId="1" type="noConversion"/>
  </si>
  <si>
    <t xml:space="preserve">↓ 호선에 해당되지 않는 부분 행 삭제 할 것 </t>
    <phoneticPr fontId="1" type="noConversion"/>
  </si>
  <si>
    <t>BALLAST MODE중 OPEN시 알람</t>
    <phoneticPr fontId="1" type="noConversion"/>
  </si>
  <si>
    <t>IF UR F45</t>
    <phoneticPr fontId="1" type="noConversion"/>
  </si>
  <si>
    <t>(F.F.E.S.:OPERATION = SIGNAL:ON)</t>
    <phoneticPr fontId="1" type="noConversion"/>
  </si>
  <si>
    <t xml:space="preserve">FIXED FIRE EXTINGUISHING SYSTEM SIGNAL (BWTS ROOM)  </t>
    <phoneticPr fontId="1" type="noConversion"/>
  </si>
  <si>
    <t>DE-BALLASTING</t>
    <phoneticPr fontId="1" type="noConversion"/>
  </si>
  <si>
    <t>** BALLASTING 유량은 ECU CAPACITY와 동일하게 적용됩니다.</t>
    <phoneticPr fontId="1" type="noConversion"/>
  </si>
  <si>
    <r>
      <t xml:space="preserve">ABNORMAL or INTERLOCK SIGNAL </t>
    </r>
    <r>
      <rPr>
        <b/>
        <sz val="10"/>
        <color rgb="FFFF0000"/>
        <rFont val="맑은 고딕"/>
        <family val="3"/>
        <charset val="129"/>
        <scheme val="minor"/>
      </rPr>
      <t>(본선에 맞춰 기입 할 것)</t>
    </r>
    <phoneticPr fontId="1" type="noConversion"/>
  </si>
  <si>
    <t xml:space="preserve">VRCS : REMOTE V/V(YARD SUPPLY)
REMOTE : REMOTE V/V(TECHCROSS SUPPLY) ↓  </t>
    <phoneticPr fontId="1" type="noConversion"/>
  </si>
  <si>
    <t>500m3/h x 2</t>
    <phoneticPr fontId="1" type="noConversion"/>
  </si>
  <si>
    <t>BYPASS V/V</t>
    <phoneticPr fontId="1" type="noConversion"/>
  </si>
  <si>
    <t>YZJ2023-1578~1583</t>
    <phoneticPr fontId="1" type="noConversion"/>
  </si>
  <si>
    <t>50m3/h x 2</t>
    <phoneticPr fontId="1" type="noConversion"/>
  </si>
  <si>
    <t>BWV14</t>
    <phoneticPr fontId="1" type="noConversion"/>
  </si>
  <si>
    <t>VRCS</t>
    <phoneticPr fontId="1" type="noConversion"/>
  </si>
  <si>
    <t>*추후 작성 예정</t>
    <phoneticPr fontId="1" type="noConversion"/>
  </si>
  <si>
    <t>BWV1</t>
    <phoneticPr fontId="1" type="noConversion"/>
  </si>
  <si>
    <t>BWV3</t>
    <phoneticPr fontId="1" type="noConversion"/>
  </si>
  <si>
    <t>BWV2</t>
    <phoneticPr fontId="1" type="noConversion"/>
  </si>
  <si>
    <t>BAV12</t>
    <phoneticPr fontId="1" type="noConversion"/>
  </si>
  <si>
    <t>BAV5</t>
    <phoneticPr fontId="1" type="noConversion"/>
  </si>
  <si>
    <t>BAV24</t>
    <phoneticPr fontId="1" type="noConversion"/>
  </si>
  <si>
    <t>BAV36</t>
    <phoneticPr fontId="1" type="noConversion"/>
  </si>
  <si>
    <t>BAV7</t>
    <phoneticPr fontId="1" type="noConversion"/>
  </si>
  <si>
    <t>BAV6</t>
    <phoneticPr fontId="1" type="noConversion"/>
  </si>
  <si>
    <t>BAV10</t>
    <phoneticPr fontId="1" type="noConversion"/>
  </si>
  <si>
    <t>BAV11</t>
    <phoneticPr fontId="1" type="noConversion"/>
  </si>
  <si>
    <t>BAV3</t>
    <phoneticPr fontId="1" type="noConversion"/>
  </si>
  <si>
    <t>NK</t>
    <phoneticPr fontId="1" type="noConversion"/>
  </si>
  <si>
    <t>YZJ2023-1584/1585</t>
    <phoneticPr fontId="1" type="noConversion"/>
  </si>
  <si>
    <t>DATE : 2025.12.22.</t>
    <phoneticPr fontId="1" type="noConversion"/>
  </si>
  <si>
    <t>REMOTE(HMI)</t>
    <phoneticPr fontId="1" type="noConversion"/>
  </si>
  <si>
    <t>REMOTE Type이나 BCM구성 위하여 Limit Switch도 함께 적용.
내용 확인 바랍니다.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</si>
</sst>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0"/>
      <color rgb="FF0033CC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theme="3" tint="0.39997558519241921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b/>
      <sz val="17"/>
      <name val="맑은 고딕"/>
      <family val="3"/>
      <charset val="129"/>
      <scheme val="minor"/>
    </font>
    <font>
      <b/>
      <sz val="12"/>
      <color theme="0" tint="-0.499984740745262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indent="1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indent="1"/>
    </xf>
    <xf numFmtId="0" fontId="1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0" borderId="0" xfId="0" applyFont="1" applyAlignment="1">
      <alignment vertical="top" wrapText="1"/>
    </xf>
    <xf numFmtId="0" fontId="3" fillId="3" borderId="2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8" fillId="2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12" fillId="0" borderId="0" xfId="0" applyFont="1">
      <alignment vertical="center"/>
    </xf>
    <xf numFmtId="0" fontId="12" fillId="0" borderId="0" xfId="0" applyFont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12" fillId="0" borderId="6" xfId="0" applyFont="1" applyBorder="1">
      <alignment vertical="center"/>
    </xf>
    <xf numFmtId="0" fontId="14" fillId="0" borderId="0" xfId="0" applyFont="1" applyAlignment="1">
      <alignment horizontal="right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indent="1"/>
    </xf>
    <xf numFmtId="0" fontId="12" fillId="0" borderId="6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horizontal="left" vertical="top" wrapText="1"/>
    </xf>
    <xf numFmtId="0" fontId="6" fillId="5" borderId="10" xfId="0" applyFont="1" applyFill="1" applyBorder="1" applyAlignment="1">
      <alignment horizontal="left" vertical="top" wrapText="1"/>
    </xf>
    <xf numFmtId="0" fontId="6" fillId="5" borderId="0" xfId="0" applyFont="1" applyFill="1" applyAlignment="1">
      <alignment horizontal="left" vertical="top" wrapText="1"/>
    </xf>
    <xf numFmtId="0" fontId="6" fillId="5" borderId="8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0" fontId="2" fillId="8" borderId="5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 wrapText="1" indent="6"/>
    </xf>
    <xf numFmtId="0" fontId="12" fillId="0" borderId="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14" fontId="16" fillId="3" borderId="0" xfId="0" applyNumberFormat="1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left" vertical="center" indent="1"/>
    </xf>
    <xf numFmtId="0" fontId="17" fillId="3" borderId="1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horizontal="left" vertical="center"/>
    </xf>
    <xf numFmtId="0" fontId="17" fillId="3" borderId="5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33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139784</xdr:colOff>
      <xdr:row>0</xdr:row>
      <xdr:rowOff>138573</xdr:rowOff>
    </xdr:from>
    <xdr:ext cx="1440245" cy="406254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49" y="452338"/>
          <a:ext cx="1440245" cy="4062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B369-08CE-4B29-B124-67567945A5DA}">
  <sheetPr>
    <pageSetUpPr fitToPage="1"/>
  </sheetPr>
  <dimension ref="B1:M26"/>
  <sheetViews>
    <sheetView tabSelected="1" zoomScale="85" zoomScaleNormal="85" zoomScaleSheetLayoutView="85" workbookViewId="0"/>
  </sheetViews>
  <sheetFormatPr defaultColWidth="9" defaultRowHeight="13.5" x14ac:dyDescent="0.3"/>
  <cols>
    <col min="1" max="1" width="4.25" style="2" customWidth="1"/>
    <col min="2" max="2" width="12.75" style="3" customWidth="1"/>
    <col min="3" max="3" width="37.5" style="3" customWidth="1"/>
    <col min="4" max="4" width="5" style="3" bestFit="1" customWidth="1"/>
    <col min="5" max="5" width="48.125" style="3" customWidth="1"/>
    <col min="6" max="6" width="31.5" style="3" customWidth="1"/>
    <col min="7" max="7" width="12.5" style="3" customWidth="1"/>
    <col min="8" max="11" width="12.75" style="3" customWidth="1"/>
    <col min="12" max="12" width="58" style="32" customWidth="1"/>
    <col min="13" max="13" width="32.125" style="2" bestFit="1" customWidth="1"/>
    <col min="14" max="14" width="17.625" style="2" bestFit="1" customWidth="1"/>
    <col min="15" max="15" width="12.875" style="2" bestFit="1" customWidth="1"/>
    <col min="16" max="16" width="27.125" style="2" bestFit="1" customWidth="1"/>
    <col min="17" max="17" width="46" style="2" bestFit="1" customWidth="1"/>
    <col min="18" max="18" width="8" style="2" bestFit="1" customWidth="1"/>
    <col min="19" max="16384" width="9" style="2"/>
  </cols>
  <sheetData>
    <row r="1" spans="2:13" ht="24.75" customHeight="1" x14ac:dyDescent="0.3">
      <c r="B1" s="4"/>
      <c r="C1" s="57"/>
      <c r="D1" s="57"/>
      <c r="E1" s="57"/>
      <c r="F1" s="63" t="s">
        <v>61</v>
      </c>
      <c r="G1" s="6"/>
      <c r="L1" s="32" t="s">
        <v>37</v>
      </c>
    </row>
    <row r="2" spans="2:13" ht="28.5" customHeight="1" x14ac:dyDescent="0.3">
      <c r="B2" s="16"/>
      <c r="C2" s="16"/>
      <c r="D2" s="4"/>
      <c r="E2" s="21" t="s">
        <v>42</v>
      </c>
      <c r="F2" s="21" t="s">
        <v>60</v>
      </c>
      <c r="G2" s="5"/>
      <c r="H2" s="60" t="s">
        <v>36</v>
      </c>
      <c r="I2" s="61"/>
      <c r="J2" s="62"/>
      <c r="K2" s="27" t="s">
        <v>11</v>
      </c>
    </row>
    <row r="3" spans="2:13" ht="49.5" customHeight="1" x14ac:dyDescent="0.3">
      <c r="B3" s="16"/>
      <c r="C3" s="16"/>
      <c r="D3" s="4"/>
      <c r="E3" s="36"/>
      <c r="F3" s="21" t="s">
        <v>59</v>
      </c>
      <c r="G3" s="5"/>
      <c r="H3" s="19" t="s">
        <v>1</v>
      </c>
      <c r="I3" s="19" t="s">
        <v>0</v>
      </c>
      <c r="J3" s="19" t="s">
        <v>23</v>
      </c>
      <c r="K3" s="19" t="s">
        <v>24</v>
      </c>
    </row>
    <row r="4" spans="2:13" ht="28.5" customHeight="1" x14ac:dyDescent="0.3">
      <c r="B4" s="17"/>
      <c r="C4" s="37"/>
      <c r="D4" s="7"/>
      <c r="E4" s="18"/>
      <c r="F4" s="58" t="s">
        <v>39</v>
      </c>
      <c r="G4" s="59"/>
      <c r="H4" s="8" t="s">
        <v>40</v>
      </c>
      <c r="I4" s="8" t="s">
        <v>27</v>
      </c>
      <c r="J4" s="8" t="s">
        <v>27</v>
      </c>
      <c r="K4" s="8" t="s">
        <v>43</v>
      </c>
      <c r="L4" s="32" t="s">
        <v>30</v>
      </c>
      <c r="M4" s="24"/>
    </row>
    <row r="5" spans="2:13" ht="18.75" customHeight="1" x14ac:dyDescent="0.3">
      <c r="B5" s="43" t="s">
        <v>21</v>
      </c>
      <c r="C5" s="54"/>
      <c r="D5" s="11" t="s">
        <v>15</v>
      </c>
      <c r="E5" s="31" t="s">
        <v>2</v>
      </c>
      <c r="F5" s="31" t="s">
        <v>8</v>
      </c>
      <c r="G5" s="13" t="s">
        <v>28</v>
      </c>
      <c r="H5" s="12"/>
      <c r="I5" s="12"/>
      <c r="J5" s="12"/>
      <c r="K5" s="14"/>
      <c r="L5" s="33" t="s">
        <v>31</v>
      </c>
      <c r="M5" s="24"/>
    </row>
    <row r="6" spans="2:13" ht="33.75" customHeight="1" x14ac:dyDescent="0.3">
      <c r="B6" s="39" t="s">
        <v>47</v>
      </c>
      <c r="C6" s="28" t="s">
        <v>25</v>
      </c>
      <c r="D6" s="8">
        <v>0</v>
      </c>
      <c r="E6" s="20" t="str">
        <f t="shared" ref="E6:E11" si="0">IF(OR(B6="",C6=""),"",IF(OR(D6=0),"",IF(OR(0&lt;D6,D6&lt;=15),"NO."&amp;D6))&amp;" "&amp;C6&amp;IF(OR(B6="",C6=""),"",))</f>
        <v xml:space="preserve"> ECU INLET V/V</v>
      </c>
      <c r="F6" s="64" t="s">
        <v>19</v>
      </c>
      <c r="G6" s="65" t="s">
        <v>62</v>
      </c>
      <c r="H6" s="66" t="s">
        <v>63</v>
      </c>
      <c r="I6" s="67"/>
      <c r="J6" s="67"/>
      <c r="K6" s="68"/>
      <c r="L6" s="33"/>
      <c r="M6" s="24"/>
    </row>
    <row r="7" spans="2:13" ht="18.75" customHeight="1" x14ac:dyDescent="0.3">
      <c r="B7" s="39" t="s">
        <v>48</v>
      </c>
      <c r="C7" s="28" t="s">
        <v>26</v>
      </c>
      <c r="D7" s="8">
        <v>0</v>
      </c>
      <c r="E7" s="20" t="str">
        <f t="shared" si="0"/>
        <v xml:space="preserve"> ECU BYPASS V/V</v>
      </c>
      <c r="F7" s="20" t="s">
        <v>19</v>
      </c>
      <c r="G7" s="38" t="s">
        <v>45</v>
      </c>
      <c r="H7" s="55" t="s">
        <v>32</v>
      </c>
      <c r="I7" s="55"/>
      <c r="J7" s="55"/>
      <c r="K7" s="56"/>
      <c r="L7" s="33"/>
      <c r="M7" s="24"/>
    </row>
    <row r="8" spans="2:13" ht="18.75" customHeight="1" x14ac:dyDescent="0.3">
      <c r="B8" s="39" t="s">
        <v>49</v>
      </c>
      <c r="C8" s="28" t="s">
        <v>4</v>
      </c>
      <c r="D8" s="8">
        <v>0</v>
      </c>
      <c r="E8" s="20" t="str">
        <f t="shared" si="0"/>
        <v xml:space="preserve"> OV'BD V/V</v>
      </c>
      <c r="F8" s="20" t="s">
        <v>19</v>
      </c>
      <c r="G8" s="38" t="s">
        <v>45</v>
      </c>
      <c r="H8" s="9"/>
      <c r="I8" s="9"/>
      <c r="J8" s="9"/>
      <c r="K8" s="10"/>
      <c r="L8" s="33"/>
      <c r="M8" s="24"/>
    </row>
    <row r="9" spans="2:13" ht="18.75" customHeight="1" x14ac:dyDescent="0.3">
      <c r="B9" s="39" t="s">
        <v>50</v>
      </c>
      <c r="C9" s="28" t="s">
        <v>3</v>
      </c>
      <c r="D9" s="8">
        <v>1</v>
      </c>
      <c r="E9" s="20" t="str">
        <f t="shared" si="0"/>
        <v>NO.1 STRIPPING</v>
      </c>
      <c r="F9" s="20" t="s">
        <v>19</v>
      </c>
      <c r="G9" s="38" t="s">
        <v>45</v>
      </c>
      <c r="H9" s="9"/>
      <c r="I9" s="9"/>
      <c r="J9" s="9"/>
      <c r="K9" s="10"/>
      <c r="L9" s="33"/>
      <c r="M9" s="24"/>
    </row>
    <row r="10" spans="2:13" ht="18.75" customHeight="1" x14ac:dyDescent="0.3">
      <c r="B10" s="39" t="s">
        <v>51</v>
      </c>
      <c r="C10" s="28" t="s">
        <v>3</v>
      </c>
      <c r="D10" s="8">
        <v>2</v>
      </c>
      <c r="E10" s="20" t="str">
        <f t="shared" ref="E10" si="1">IF(OR(B10="",C10=""),"",IF(OR(D10=0),"",IF(OR(0&lt;D10,D10&lt;=15),"NO."&amp;D10))&amp;" "&amp;C10&amp;IF(OR(B10="",C10=""),"",))</f>
        <v>NO.2 STRIPPING</v>
      </c>
      <c r="F10" s="20" t="s">
        <v>19</v>
      </c>
      <c r="G10" s="38" t="s">
        <v>45</v>
      </c>
      <c r="H10" s="9"/>
      <c r="I10" s="9"/>
      <c r="J10" s="9"/>
      <c r="K10" s="10"/>
      <c r="L10" s="33"/>
      <c r="M10" s="24"/>
    </row>
    <row r="11" spans="2:13" ht="18" customHeight="1" x14ac:dyDescent="0.3">
      <c r="B11" s="39" t="s">
        <v>52</v>
      </c>
      <c r="C11" s="28" t="s">
        <v>12</v>
      </c>
      <c r="D11" s="8">
        <v>0</v>
      </c>
      <c r="E11" s="20" t="str">
        <f t="shared" si="0"/>
        <v xml:space="preserve"> MIXING V/V</v>
      </c>
      <c r="F11" s="30" t="s">
        <v>16</v>
      </c>
      <c r="G11" s="38" t="s">
        <v>45</v>
      </c>
      <c r="H11" s="47"/>
      <c r="I11" s="48"/>
      <c r="J11" s="48"/>
      <c r="K11" s="49"/>
      <c r="L11" s="33"/>
      <c r="M11" s="24"/>
    </row>
    <row r="12" spans="2:13" ht="18.75" customHeight="1" x14ac:dyDescent="0.3">
      <c r="B12" s="43" t="s">
        <v>29</v>
      </c>
      <c r="C12" s="54"/>
      <c r="D12" s="11" t="s">
        <v>15</v>
      </c>
      <c r="E12" s="31" t="s">
        <v>2</v>
      </c>
      <c r="F12" s="31" t="s">
        <v>8</v>
      </c>
      <c r="G12" s="13" t="s">
        <v>13</v>
      </c>
      <c r="H12" s="25"/>
      <c r="I12" s="25"/>
      <c r="J12" s="25"/>
      <c r="K12" s="26"/>
      <c r="L12" s="33"/>
      <c r="M12" s="24"/>
    </row>
    <row r="13" spans="2:13" ht="18.75" customHeight="1" x14ac:dyDescent="0.3">
      <c r="B13" s="39" t="s">
        <v>53</v>
      </c>
      <c r="C13" s="29" t="s">
        <v>5</v>
      </c>
      <c r="D13" s="8">
        <v>0</v>
      </c>
      <c r="E13" s="20" t="str">
        <f t="shared" ref="E13:E20" si="2">IF(OR(B13="",C13=""),"",IF(OR(D13=0),"",IF(OR(0&lt;D13,D13&lt;=15),"NO."&amp;D13))&amp;" "&amp;C13&amp;IF(OR(B13="",C13=""),"",))</f>
        <v xml:space="preserve"> MIXING BYPASS V/V</v>
      </c>
      <c r="F13" s="20" t="s">
        <v>19</v>
      </c>
      <c r="G13" s="38" t="s">
        <v>45</v>
      </c>
      <c r="H13" s="50" t="s">
        <v>46</v>
      </c>
      <c r="I13" s="50"/>
      <c r="J13" s="50"/>
      <c r="K13" s="51"/>
      <c r="L13" s="42"/>
      <c r="M13" s="24"/>
    </row>
    <row r="14" spans="2:13" ht="18.75" customHeight="1" x14ac:dyDescent="0.3">
      <c r="B14" s="39" t="s">
        <v>54</v>
      </c>
      <c r="C14" s="29" t="s">
        <v>41</v>
      </c>
      <c r="D14" s="8">
        <v>1</v>
      </c>
      <c r="E14" s="20" t="str">
        <f t="shared" ref="E14:E18" si="3">IF(OR(B14="",C14=""),"",IF(OR(D14=0),"",IF(OR(0&lt;D14,D14&lt;=15),"NO."&amp;D14))&amp;" "&amp;C14&amp;IF(OR(B14="",C14=""),"",))</f>
        <v>NO.1 BYPASS V/V</v>
      </c>
      <c r="F14" s="20" t="s">
        <v>19</v>
      </c>
      <c r="G14" s="38" t="s">
        <v>45</v>
      </c>
      <c r="H14" s="52"/>
      <c r="I14" s="52"/>
      <c r="J14" s="52"/>
      <c r="K14" s="53"/>
      <c r="L14" s="42"/>
      <c r="M14" s="24"/>
    </row>
    <row r="15" spans="2:13" ht="18.75" customHeight="1" x14ac:dyDescent="0.3">
      <c r="B15" s="39" t="s">
        <v>55</v>
      </c>
      <c r="C15" s="29" t="s">
        <v>41</v>
      </c>
      <c r="D15" s="8">
        <v>2</v>
      </c>
      <c r="E15" s="20" t="str">
        <f t="shared" si="3"/>
        <v>NO.2 BYPASS V/V</v>
      </c>
      <c r="F15" s="20" t="s">
        <v>19</v>
      </c>
      <c r="G15" s="38" t="s">
        <v>45</v>
      </c>
      <c r="H15" s="52"/>
      <c r="I15" s="52"/>
      <c r="J15" s="52"/>
      <c r="K15" s="53"/>
      <c r="L15" s="42"/>
      <c r="M15" s="24"/>
    </row>
    <row r="16" spans="2:13" ht="18.75" customHeight="1" x14ac:dyDescent="0.3">
      <c r="B16" s="39" t="s">
        <v>56</v>
      </c>
      <c r="C16" s="29" t="s">
        <v>41</v>
      </c>
      <c r="D16" s="8">
        <v>3</v>
      </c>
      <c r="E16" s="20" t="str">
        <f t="shared" si="3"/>
        <v>NO.3 BYPASS V/V</v>
      </c>
      <c r="F16" s="20" t="s">
        <v>19</v>
      </c>
      <c r="G16" s="38" t="s">
        <v>45</v>
      </c>
      <c r="H16" s="52"/>
      <c r="I16" s="52"/>
      <c r="J16" s="52"/>
      <c r="K16" s="53"/>
      <c r="L16" s="42"/>
      <c r="M16" s="24"/>
    </row>
    <row r="17" spans="2:13" ht="18.75" customHeight="1" x14ac:dyDescent="0.3">
      <c r="B17" s="39" t="s">
        <v>57</v>
      </c>
      <c r="C17" s="29" t="s">
        <v>41</v>
      </c>
      <c r="D17" s="8">
        <v>4</v>
      </c>
      <c r="E17" s="20" t="str">
        <f t="shared" si="2"/>
        <v>NO.4 BYPASS V/V</v>
      </c>
      <c r="F17" s="20" t="s">
        <v>19</v>
      </c>
      <c r="G17" s="38" t="s">
        <v>45</v>
      </c>
      <c r="H17" s="52"/>
      <c r="I17" s="52"/>
      <c r="J17" s="52"/>
      <c r="K17" s="53"/>
      <c r="L17" s="42"/>
      <c r="M17" s="24"/>
    </row>
    <row r="18" spans="2:13" ht="18.75" customHeight="1" x14ac:dyDescent="0.3">
      <c r="B18" s="39" t="s">
        <v>58</v>
      </c>
      <c r="C18" s="29" t="s">
        <v>41</v>
      </c>
      <c r="D18" s="8">
        <v>5</v>
      </c>
      <c r="E18" s="20" t="str">
        <f t="shared" si="3"/>
        <v>NO.5 BYPASS V/V</v>
      </c>
      <c r="F18" s="20" t="s">
        <v>19</v>
      </c>
      <c r="G18" s="38" t="s">
        <v>45</v>
      </c>
      <c r="H18" s="52"/>
      <c r="I18" s="52"/>
      <c r="J18" s="52"/>
      <c r="K18" s="53"/>
      <c r="L18" s="42"/>
      <c r="M18" s="24"/>
    </row>
    <row r="19" spans="2:13" ht="18.75" customHeight="1" x14ac:dyDescent="0.3">
      <c r="B19" s="39"/>
      <c r="C19" s="29"/>
      <c r="D19" s="8"/>
      <c r="E19" s="20"/>
      <c r="F19" s="20"/>
      <c r="G19" s="38"/>
      <c r="H19" s="52"/>
      <c r="I19" s="52"/>
      <c r="J19" s="52"/>
      <c r="K19" s="53"/>
      <c r="L19" s="42"/>
      <c r="M19" s="24"/>
    </row>
    <row r="20" spans="2:13" ht="18.75" customHeight="1" x14ac:dyDescent="0.3">
      <c r="B20" s="39" t="s">
        <v>44</v>
      </c>
      <c r="C20" s="29" t="s">
        <v>20</v>
      </c>
      <c r="D20" s="8">
        <v>0</v>
      </c>
      <c r="E20" s="20" t="str">
        <f t="shared" si="2"/>
        <v xml:space="preserve"> COOLING F.W. INLET V/V FOR PRU </v>
      </c>
      <c r="F20" s="30" t="s">
        <v>16</v>
      </c>
      <c r="G20" s="34" t="s">
        <v>9</v>
      </c>
      <c r="H20" s="52"/>
      <c r="I20" s="52"/>
      <c r="J20" s="52"/>
      <c r="K20" s="53"/>
      <c r="L20" s="42"/>
      <c r="M20" s="24"/>
    </row>
    <row r="21" spans="2:13" ht="18.75" customHeight="1" x14ac:dyDescent="0.3">
      <c r="B21" s="43" t="s">
        <v>17</v>
      </c>
      <c r="C21" s="43"/>
      <c r="D21" s="11" t="s">
        <v>15</v>
      </c>
      <c r="E21" s="31" t="s">
        <v>2</v>
      </c>
      <c r="F21" s="31" t="s">
        <v>8</v>
      </c>
      <c r="G21" s="14"/>
      <c r="H21" s="12"/>
      <c r="I21" s="12"/>
      <c r="J21" s="12"/>
      <c r="K21" s="14"/>
    </row>
    <row r="22" spans="2:13" ht="18.75" customHeight="1" x14ac:dyDescent="0.3">
      <c r="B22" s="8"/>
      <c r="C22" s="29" t="s">
        <v>7</v>
      </c>
      <c r="D22" s="8">
        <v>1</v>
      </c>
      <c r="E22" s="20" t="str">
        <f>IF(OR(D22=0),"",IF(OR(0&lt;D22,D22&lt;=15),"NO."&amp;D22))&amp;" "&amp;C22&amp;""</f>
        <v>NO.1 BALLAST P/P</v>
      </c>
      <c r="F22" s="20" t="s">
        <v>18</v>
      </c>
      <c r="G22" s="10"/>
      <c r="H22" s="9"/>
      <c r="I22" s="9"/>
      <c r="J22" s="9"/>
      <c r="K22" s="10"/>
    </row>
    <row r="23" spans="2:13" ht="18.75" customHeight="1" x14ac:dyDescent="0.3">
      <c r="B23" s="8"/>
      <c r="C23" s="29" t="s">
        <v>6</v>
      </c>
      <c r="D23" s="8">
        <v>2</v>
      </c>
      <c r="E23" s="20" t="str">
        <f t="shared" ref="E23" si="4">IF(OR(D23=0),"",IF(OR(0&lt;D23,D23&lt;=15),"NO."&amp;D23))&amp;" "&amp;C23&amp;""</f>
        <v>NO.2 BALLAST P/P</v>
      </c>
      <c r="F23" s="20" t="s">
        <v>18</v>
      </c>
      <c r="G23" s="10"/>
      <c r="H23" s="9"/>
      <c r="I23" s="9"/>
      <c r="J23" s="9"/>
      <c r="K23" s="10"/>
      <c r="M23" s="1"/>
    </row>
    <row r="24" spans="2:13" ht="18.75" customHeight="1" x14ac:dyDescent="0.3">
      <c r="B24" s="44" t="s">
        <v>38</v>
      </c>
      <c r="C24" s="45"/>
      <c r="D24" s="46"/>
      <c r="E24" s="31" t="s">
        <v>2</v>
      </c>
      <c r="F24" s="31" t="s">
        <v>8</v>
      </c>
      <c r="G24" s="14"/>
      <c r="H24" s="12"/>
      <c r="I24" s="12"/>
      <c r="J24" s="12"/>
      <c r="K24" s="14"/>
    </row>
    <row r="25" spans="2:13" ht="19.5" customHeight="1" x14ac:dyDescent="0.3">
      <c r="B25" s="47" t="s">
        <v>22</v>
      </c>
      <c r="C25" s="48"/>
      <c r="D25" s="49"/>
      <c r="E25" s="20" t="s">
        <v>10</v>
      </c>
      <c r="F25" s="20" t="s">
        <v>14</v>
      </c>
      <c r="G25" s="10"/>
      <c r="H25" s="9"/>
      <c r="I25" s="9"/>
      <c r="J25" s="9"/>
      <c r="K25" s="10"/>
      <c r="L25" s="35"/>
    </row>
    <row r="26" spans="2:13" ht="27.75" customHeight="1" x14ac:dyDescent="0.3">
      <c r="B26" s="15" t="s">
        <v>33</v>
      </c>
      <c r="C26" s="40"/>
      <c r="D26" s="41"/>
      <c r="E26" s="20" t="s">
        <v>35</v>
      </c>
      <c r="F26" s="20" t="s">
        <v>34</v>
      </c>
      <c r="G26" s="23"/>
      <c r="H26" s="22"/>
      <c r="I26" s="22"/>
      <c r="J26" s="22"/>
      <c r="K26" s="23"/>
      <c r="L26" s="35"/>
    </row>
  </sheetData>
  <mergeCells count="14">
    <mergeCell ref="B12:C12"/>
    <mergeCell ref="H7:K7"/>
    <mergeCell ref="H11:K11"/>
    <mergeCell ref="C1:E1"/>
    <mergeCell ref="B5:C5"/>
    <mergeCell ref="F4:G4"/>
    <mergeCell ref="H2:J2"/>
    <mergeCell ref="H6:K6"/>
    <mergeCell ref="C26:D26"/>
    <mergeCell ref="L13:L20"/>
    <mergeCell ref="B21:C21"/>
    <mergeCell ref="B24:D24"/>
    <mergeCell ref="B25:D25"/>
    <mergeCell ref="H13:K20"/>
  </mergeCells>
  <phoneticPr fontId="1" type="noConversion"/>
  <dataValidations disablePrompts="1" count="1">
    <dataValidation type="whole" allowBlank="1" showInputMessage="1" showErrorMessage="1" sqref="D13:D20 D6:D11 D22:D23" xr:uid="{D4184D03-F6F6-4451-84A0-6D0EBB21E78B}">
      <formula1>0</formula1>
      <formula2>12</formula2>
    </dataValidation>
  </dataValidations>
  <pageMargins left="0.23622047244094491" right="0.23622047244094491" top="0.74803149606299213" bottom="0.7480314960629921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2023년</vt:lpstr>
      <vt:lpstr>'2023년'!Print_Area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eun-ji lee</dc:creator>
  <cp:lastModifiedBy>김수민</cp:lastModifiedBy>
  <cp:lastPrinted>2025-12-19T02:39:06Z</cp:lastPrinted>
  <dcterms:created xsi:type="dcterms:W3CDTF">2013-08-26T04:41:03Z</dcterms:created>
  <dcterms:modified xsi:type="dcterms:W3CDTF">2025-12-22T02:57:21Z</dcterms:modified>
</cp:coreProperties>
</file>