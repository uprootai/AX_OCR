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spreadsheetml.sheetMetadata+xml" PartName="/xl/metadata.xml"/>
  <Override ContentType="application/vnd.openxmlformats-officedocument.spreadsheetml.comments+xml" PartName="/xl/comments1.xml"/>
  <Override ContentType="application/vnd.ms-excel.threadedcomments+xml" PartName="/xl/threadedComments/threadedComment1.xml"/>
  <Override ContentType="application/vnd.openxmlformats-officedocument.spreadsheetml.comments+xml" PartName="/xl/comments2.xml"/>
  <Override ContentType="application/vnd.ms-excel.threadedcomments+xml" PartName="/xl/threadedComments/threadedComment2.xml"/>
  <Override ContentType="application/vnd.openxmlformats-officedocument.spreadsheetml.comments+xml" PartName="/xl/comments3.xml"/>
  <Override ContentType="application/vnd.ms-excel.threadedcomments+xml" PartName="/xl/threadedComments/threadedComment3.xml"/>
  <Override ContentType="application/vnd.ms-excel.person+xml" PartName="/xl/persons/person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?><Relationships xmlns="http://schemas.openxmlformats.org/package/2006/relationships"><Relationship Id="rId3" Target="docProps/app.xml" Type="http://schemas.openxmlformats.org/officeDocument/2006/relationships/extended-properties"/><Relationship Id="rId2" Target="docProps/core.xml" Type="http://schemas.openxmlformats.org/package/2006/relationships/metadata/core-properties"/><Relationship Id="rId1" Target="xl/workbook.xml" Type="http://schemas.openxmlformats.org/officeDocument/2006/relationships/officeDocument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K:\01.호선업무\1.신조호선 (미계약 TP)\3.중국\H1993A-H1998A, HYCHLOR 2.0 3000 X 2 SET\"/>
    </mc:Choice>
  </mc:AlternateContent>
  <xr:revisionPtr revIDLastSave="0" documentId="13_ncr:1_{B534F6D7-3993-4B9D-B6EB-2F00EBCA064D}" xr6:coauthVersionLast="47" xr6:coauthVersionMax="47" xr10:uidLastSave="{00000000-0000-0000-0000-000000000000}"/>
  <bookViews>
    <workbookView xWindow="2340" yWindow="615" windowWidth="21660" windowHeight="15585" xr2:uid="{00000000-000D-0000-FFFF-FFFF00000000}"/>
  </bookViews>
  <sheets>
    <sheet name="1. Check list (25.01)" sheetId="20" r:id="rId1"/>
    <sheet name="2. 배관 계산" sheetId="17" r:id="rId2"/>
    <sheet name="3. 모델별 장비 사이즈_2" sheetId="21" r:id="rId3"/>
    <sheet name="a" sheetId="19" r:id="rId4"/>
    <sheet name="b" sheetId="15" r:id="rId5"/>
  </sheets>
  <definedNames>
    <definedName name="_xlnm._FilterDatabase" localSheetId="4" hidden="1">b!$A$1:$G$40</definedName>
    <definedName name="_xlnm.Print_Area" localSheetId="0">'1. Check list (25.01)'!$A$1:$H$58</definedName>
    <definedName name="_xlnm.Print_Area" localSheetId="3">a!$A$1:$K$37</definedName>
    <definedName name="_xlnm.Print_Area" localSheetId="4">b!$A$1:$G$45</definedName>
    <definedName name="_xlnm.Print_Titles" localSheetId="0">'1. Check list (25.01)'!$5:$5</definedName>
    <definedName name="_xlnm.Print_Titles" localSheetId="4">b!$5:$5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36" i="21" l="1"/>
  <c r="AD36" i="21"/>
  <c r="AE36" i="21"/>
  <c r="AF36" i="21"/>
  <c r="AG36" i="21"/>
  <c r="AH36" i="21"/>
  <c r="AB36" i="21"/>
  <c r="AC35" i="21"/>
  <c r="AD35" i="21"/>
  <c r="AE35" i="21"/>
  <c r="AF35" i="21"/>
  <c r="AG35" i="21"/>
  <c r="AH35" i="21"/>
  <c r="AB35" i="21"/>
  <c r="AC33" i="21"/>
  <c r="AD33" i="21"/>
  <c r="AE33" i="21"/>
  <c r="AF33" i="21"/>
  <c r="AG33" i="21"/>
  <c r="AH33" i="21"/>
  <c r="AB33" i="21"/>
  <c r="AC32" i="21"/>
  <c r="AD32" i="21"/>
  <c r="AE32" i="21"/>
  <c r="AF32" i="21"/>
  <c r="AG32" i="21"/>
  <c r="AH32" i="21"/>
  <c r="AB32" i="21"/>
  <c r="AC31" i="21"/>
  <c r="AD31" i="21"/>
  <c r="AE31" i="21"/>
  <c r="AF31" i="21"/>
  <c r="AG31" i="21"/>
  <c r="AH31" i="21"/>
  <c r="AB31" i="21"/>
  <c r="AC30" i="21"/>
  <c r="AD30" i="21"/>
  <c r="AE30" i="21"/>
  <c r="AF30" i="21"/>
  <c r="AG30" i="21"/>
  <c r="AH30" i="21"/>
  <c r="AB30" i="21"/>
  <c r="AC28" i="21"/>
  <c r="AD28" i="21"/>
  <c r="AE28" i="21"/>
  <c r="AF28" i="21"/>
  <c r="AG28" i="21"/>
  <c r="AH28" i="21"/>
  <c r="AB28" i="21"/>
  <c r="AC27" i="21"/>
  <c r="AD27" i="21"/>
  <c r="AE27" i="21"/>
  <c r="AF27" i="21"/>
  <c r="AG27" i="21"/>
  <c r="AH27" i="21"/>
  <c r="AB27" i="21"/>
  <c r="AC26" i="21"/>
  <c r="AD26" i="21"/>
  <c r="AE26" i="21"/>
  <c r="AF26" i="21"/>
  <c r="AG26" i="21"/>
  <c r="AH26" i="21"/>
  <c r="AB26" i="21"/>
  <c r="AC25" i="21"/>
  <c r="AD25" i="21"/>
  <c r="AE25" i="21"/>
  <c r="AF25" i="21"/>
  <c r="AG25" i="21"/>
  <c r="AH25" i="21"/>
  <c r="AB25" i="21"/>
  <c r="AC24" i="21"/>
  <c r="AD24" i="21"/>
  <c r="AE24" i="21"/>
  <c r="AF24" i="21"/>
  <c r="AG24" i="21"/>
  <c r="AH24" i="21"/>
  <c r="AB24" i="21"/>
  <c r="AC23" i="21"/>
  <c r="AD23" i="21"/>
  <c r="AE23" i="21"/>
  <c r="AF23" i="21"/>
  <c r="AG23" i="21"/>
  <c r="AH23" i="21"/>
  <c r="AB23" i="21"/>
  <c r="AC22" i="21"/>
  <c r="AD22" i="21"/>
  <c r="AE22" i="21"/>
  <c r="AF22" i="21"/>
  <c r="AG22" i="21"/>
  <c r="AH22" i="21"/>
  <c r="AB22" i="21"/>
  <c r="AC21" i="21"/>
  <c r="AD21" i="21"/>
  <c r="AE21" i="21"/>
  <c r="AF21" i="21"/>
  <c r="AG21" i="21"/>
  <c r="AH21" i="21"/>
  <c r="AB21" i="21"/>
  <c r="AC20" i="21"/>
  <c r="AD20" i="21"/>
  <c r="AE20" i="21"/>
  <c r="AF20" i="21"/>
  <c r="AG20" i="21"/>
  <c r="AH20" i="21"/>
  <c r="AB20" i="21"/>
  <c r="AC18" i="21"/>
  <c r="AD18" i="21"/>
  <c r="AE18" i="21"/>
  <c r="AF18" i="21"/>
  <c r="AG18" i="21"/>
  <c r="AH18" i="21"/>
  <c r="AB18" i="21"/>
  <c r="AC17" i="21"/>
  <c r="AD17" i="21"/>
  <c r="AE17" i="21"/>
  <c r="AF17" i="21"/>
  <c r="AG17" i="21"/>
  <c r="AH17" i="21"/>
  <c r="AB17" i="21"/>
  <c r="AC16" i="21"/>
  <c r="AD16" i="21"/>
  <c r="AE16" i="21"/>
  <c r="AF16" i="21"/>
  <c r="AG16" i="21"/>
  <c r="AH16" i="21"/>
  <c r="AB16" i="21"/>
  <c r="AC14" i="21"/>
  <c r="AD14" i="21"/>
  <c r="AE14" i="21"/>
  <c r="AF14" i="21"/>
  <c r="AG14" i="21"/>
  <c r="AH14" i="21"/>
  <c r="AB14" i="21"/>
  <c r="AC12" i="21"/>
  <c r="AD12" i="21"/>
  <c r="AE12" i="21"/>
  <c r="AF12" i="21"/>
  <c r="AG12" i="21"/>
  <c r="AH12" i="21"/>
  <c r="AB12" i="21"/>
  <c r="AC11" i="21"/>
  <c r="AD11" i="21"/>
  <c r="AE11" i="21"/>
  <c r="AF11" i="21"/>
  <c r="AG11" i="21"/>
  <c r="AH11" i="21"/>
  <c r="AB11" i="21"/>
  <c r="AC9" i="21"/>
  <c r="AD9" i="21"/>
  <c r="AE9" i="21"/>
  <c r="AF9" i="21"/>
  <c r="AG9" i="21"/>
  <c r="AH9" i="21"/>
  <c r="AB9" i="21"/>
  <c r="AC8" i="21"/>
  <c r="AD8" i="21"/>
  <c r="AE8" i="21"/>
  <c r="AF8" i="21"/>
  <c r="AG8" i="21"/>
  <c r="AH8" i="21"/>
  <c r="AB8" i="21"/>
  <c r="AC7" i="21"/>
  <c r="AD7" i="21"/>
  <c r="AE7" i="21"/>
  <c r="AF7" i="21"/>
  <c r="AG7" i="21"/>
  <c r="AH7" i="21"/>
  <c r="AB7" i="21"/>
  <c r="AC6" i="21"/>
  <c r="AD6" i="21"/>
  <c r="AE6" i="21"/>
  <c r="AF6" i="21"/>
  <c r="AG6" i="21"/>
  <c r="AH6" i="21"/>
  <c r="AB6" i="21"/>
  <c r="N36" i="21"/>
  <c r="M36" i="21"/>
  <c r="L36" i="21"/>
  <c r="K36" i="21"/>
  <c r="J36" i="21"/>
  <c r="I36" i="21"/>
  <c r="H36" i="21"/>
  <c r="N35" i="21"/>
  <c r="M35" i="21"/>
  <c r="L35" i="21"/>
  <c r="K35" i="21"/>
  <c r="J35" i="21"/>
  <c r="I35" i="21"/>
  <c r="H35" i="21"/>
  <c r="N33" i="21"/>
  <c r="M33" i="21"/>
  <c r="L33" i="21"/>
  <c r="K33" i="21"/>
  <c r="J33" i="21"/>
  <c r="I33" i="21"/>
  <c r="H33" i="21"/>
  <c r="N32" i="21"/>
  <c r="M32" i="21"/>
  <c r="L32" i="21"/>
  <c r="K32" i="21"/>
  <c r="J32" i="21"/>
  <c r="I32" i="21"/>
  <c r="H32" i="21"/>
  <c r="N31" i="21"/>
  <c r="M31" i="21"/>
  <c r="L31" i="21"/>
  <c r="K31" i="21"/>
  <c r="J31" i="21"/>
  <c r="I31" i="21"/>
  <c r="H31" i="21"/>
  <c r="N30" i="21"/>
  <c r="M30" i="21"/>
  <c r="L30" i="21"/>
  <c r="K30" i="21"/>
  <c r="J30" i="21"/>
  <c r="I30" i="21"/>
  <c r="H30" i="21"/>
  <c r="N28" i="21"/>
  <c r="M28" i="21"/>
  <c r="L28" i="21"/>
  <c r="K28" i="21"/>
  <c r="J28" i="21"/>
  <c r="I28" i="21"/>
  <c r="H28" i="21"/>
  <c r="N27" i="21"/>
  <c r="M27" i="21"/>
  <c r="L27" i="21"/>
  <c r="K27" i="21"/>
  <c r="J27" i="21"/>
  <c r="I27" i="21"/>
  <c r="H27" i="21"/>
  <c r="N26" i="21"/>
  <c r="M26" i="21"/>
  <c r="L26" i="21"/>
  <c r="K26" i="21"/>
  <c r="J26" i="21"/>
  <c r="I26" i="21"/>
  <c r="H26" i="21"/>
  <c r="N25" i="21"/>
  <c r="M25" i="21"/>
  <c r="L25" i="21"/>
  <c r="K25" i="21"/>
  <c r="J25" i="21"/>
  <c r="I25" i="21"/>
  <c r="H25" i="21"/>
  <c r="N24" i="21"/>
  <c r="M24" i="21"/>
  <c r="L24" i="21"/>
  <c r="K24" i="21"/>
  <c r="J24" i="21"/>
  <c r="I24" i="21"/>
  <c r="H24" i="21"/>
  <c r="N23" i="21"/>
  <c r="M23" i="21"/>
  <c r="L23" i="21"/>
  <c r="K23" i="21"/>
  <c r="J23" i="21"/>
  <c r="I23" i="21"/>
  <c r="H23" i="21"/>
  <c r="N22" i="21"/>
  <c r="M22" i="21"/>
  <c r="L22" i="21"/>
  <c r="K22" i="21"/>
  <c r="J22" i="21"/>
  <c r="I22" i="21"/>
  <c r="H22" i="21"/>
  <c r="N21" i="21"/>
  <c r="M21" i="21"/>
  <c r="L21" i="21"/>
  <c r="K21" i="21"/>
  <c r="J21" i="21"/>
  <c r="I21" i="21"/>
  <c r="H21" i="21"/>
  <c r="N20" i="21"/>
  <c r="M20" i="21"/>
  <c r="L20" i="21"/>
  <c r="K20" i="21"/>
  <c r="J20" i="21"/>
  <c r="I20" i="21"/>
  <c r="H20" i="21"/>
  <c r="N18" i="21"/>
  <c r="M18" i="21"/>
  <c r="L18" i="21"/>
  <c r="K18" i="21"/>
  <c r="J18" i="21"/>
  <c r="I18" i="21"/>
  <c r="H18" i="21"/>
  <c r="N17" i="21"/>
  <c r="M17" i="21"/>
  <c r="L17" i="21"/>
  <c r="K17" i="21"/>
  <c r="J17" i="21"/>
  <c r="I17" i="21"/>
  <c r="H17" i="21"/>
  <c r="N16" i="21"/>
  <c r="M16" i="21"/>
  <c r="L16" i="21"/>
  <c r="K16" i="21"/>
  <c r="J16" i="21"/>
  <c r="I16" i="21"/>
  <c r="H16" i="21"/>
  <c r="N14" i="21"/>
  <c r="M14" i="21"/>
  <c r="L14" i="21"/>
  <c r="K14" i="21"/>
  <c r="J14" i="21"/>
  <c r="I14" i="21"/>
  <c r="H14" i="21"/>
  <c r="N12" i="21"/>
  <c r="M12" i="21"/>
  <c r="L12" i="21"/>
  <c r="K12" i="21"/>
  <c r="J12" i="21"/>
  <c r="I12" i="21"/>
  <c r="H12" i="21"/>
  <c r="N11" i="21"/>
  <c r="M11" i="21"/>
  <c r="L11" i="21"/>
  <c r="K11" i="21"/>
  <c r="J11" i="21"/>
  <c r="I11" i="21"/>
  <c r="H11" i="21"/>
  <c r="N9" i="21"/>
  <c r="M9" i="21"/>
  <c r="L9" i="21"/>
  <c r="K9" i="21"/>
  <c r="J9" i="21"/>
  <c r="I9" i="21"/>
  <c r="H9" i="21"/>
  <c r="N8" i="21"/>
  <c r="M8" i="21"/>
  <c r="L8" i="21"/>
  <c r="K8" i="21"/>
  <c r="J8" i="21"/>
  <c r="I8" i="21"/>
  <c r="H8" i="21"/>
  <c r="N7" i="21"/>
  <c r="M7" i="21"/>
  <c r="L7" i="21"/>
  <c r="K7" i="21"/>
  <c r="J7" i="21"/>
  <c r="I7" i="21"/>
  <c r="H7" i="21"/>
  <c r="N6" i="21"/>
  <c r="M6" i="21"/>
  <c r="L6" i="21"/>
  <c r="K6" i="21"/>
  <c r="J6" i="21"/>
  <c r="I6" i="21"/>
  <c r="H6" i="21"/>
  <c r="S6" i="17" l="1"/>
  <c r="L10" i="17"/>
  <c r="J25" i="19"/>
  <c r="E20" i="19"/>
  <c r="D7" i="19" l="1"/>
  <c r="E7" i="19"/>
  <c r="F7" i="19"/>
  <c r="G7" i="19"/>
  <c r="D8" i="19"/>
  <c r="E8" i="19"/>
  <c r="F8" i="19"/>
  <c r="G8" i="19"/>
  <c r="D9" i="19"/>
  <c r="E9" i="19"/>
  <c r="F9" i="19"/>
  <c r="G9" i="19"/>
  <c r="D11" i="19"/>
  <c r="E11" i="19"/>
  <c r="F11" i="19"/>
  <c r="G11" i="19"/>
  <c r="D12" i="19"/>
  <c r="E12" i="19"/>
  <c r="F12" i="19"/>
  <c r="G12" i="19"/>
  <c r="D14" i="19"/>
  <c r="E14" i="19"/>
  <c r="F14" i="19"/>
  <c r="G14" i="19"/>
  <c r="D16" i="19"/>
  <c r="E16" i="19"/>
  <c r="F16" i="19"/>
  <c r="G16" i="19"/>
  <c r="D17" i="19"/>
  <c r="E17" i="19"/>
  <c r="F17" i="19"/>
  <c r="G17" i="19"/>
  <c r="D18" i="19"/>
  <c r="E18" i="19"/>
  <c r="F18" i="19"/>
  <c r="G18" i="19"/>
  <c r="D20" i="19"/>
  <c r="F20" i="19"/>
  <c r="G20" i="19"/>
  <c r="D21" i="19"/>
  <c r="E21" i="19"/>
  <c r="F21" i="19"/>
  <c r="G21" i="19"/>
  <c r="D22" i="19"/>
  <c r="E22" i="19"/>
  <c r="F22" i="19"/>
  <c r="G22" i="19"/>
  <c r="D23" i="19"/>
  <c r="E23" i="19"/>
  <c r="F23" i="19"/>
  <c r="G23" i="19"/>
  <c r="D24" i="19"/>
  <c r="E24" i="19"/>
  <c r="F24" i="19"/>
  <c r="G24" i="19"/>
  <c r="D25" i="19"/>
  <c r="E25" i="19"/>
  <c r="F25" i="19"/>
  <c r="G25" i="19"/>
  <c r="D26" i="19"/>
  <c r="E26" i="19"/>
  <c r="F26" i="19"/>
  <c r="G26" i="19"/>
  <c r="D27" i="19"/>
  <c r="E27" i="19"/>
  <c r="F27" i="19"/>
  <c r="G27" i="19"/>
  <c r="D28" i="19"/>
  <c r="E28" i="19"/>
  <c r="F28" i="19"/>
  <c r="G28" i="19"/>
  <c r="D30" i="19"/>
  <c r="E30" i="19"/>
  <c r="F30" i="19"/>
  <c r="G30" i="19"/>
  <c r="D31" i="19"/>
  <c r="E31" i="19"/>
  <c r="F31" i="19"/>
  <c r="G31" i="19"/>
  <c r="D32" i="19"/>
  <c r="E32" i="19"/>
  <c r="F32" i="19"/>
  <c r="G32" i="19"/>
  <c r="D33" i="19"/>
  <c r="E33" i="19"/>
  <c r="F33" i="19"/>
  <c r="G33" i="19"/>
  <c r="D35" i="19"/>
  <c r="E35" i="19"/>
  <c r="F35" i="19"/>
  <c r="G35" i="19"/>
  <c r="D36" i="19"/>
  <c r="E36" i="19"/>
  <c r="F36" i="19"/>
  <c r="G36" i="19"/>
  <c r="D6" i="19"/>
  <c r="E6" i="19"/>
  <c r="F6" i="19"/>
  <c r="G6" i="19"/>
  <c r="K36" i="19"/>
  <c r="J36" i="19"/>
  <c r="I36" i="19"/>
  <c r="H36" i="19"/>
  <c r="K35" i="19"/>
  <c r="J35" i="19"/>
  <c r="I35" i="19"/>
  <c r="H35" i="19"/>
  <c r="K33" i="19"/>
  <c r="J33" i="19"/>
  <c r="I33" i="19"/>
  <c r="H33" i="19"/>
  <c r="K32" i="19"/>
  <c r="J32" i="19"/>
  <c r="I32" i="19"/>
  <c r="H32" i="19"/>
  <c r="K31" i="19"/>
  <c r="J31" i="19"/>
  <c r="I31" i="19"/>
  <c r="H31" i="19"/>
  <c r="K30" i="19"/>
  <c r="J30" i="19"/>
  <c r="I30" i="19"/>
  <c r="H30" i="19"/>
  <c r="K28" i="19"/>
  <c r="J28" i="19"/>
  <c r="I28" i="19"/>
  <c r="H28" i="19"/>
  <c r="K27" i="19"/>
  <c r="J27" i="19"/>
  <c r="I27" i="19"/>
  <c r="H27" i="19"/>
  <c r="K26" i="19"/>
  <c r="J26" i="19"/>
  <c r="I26" i="19"/>
  <c r="H26" i="19"/>
  <c r="K25" i="19"/>
  <c r="I25" i="19"/>
  <c r="H25" i="19"/>
  <c r="K24" i="19"/>
  <c r="J24" i="19"/>
  <c r="I24" i="19"/>
  <c r="H24" i="19"/>
  <c r="K23" i="19"/>
  <c r="J23" i="19"/>
  <c r="I23" i="19"/>
  <c r="H23" i="19"/>
  <c r="K22" i="19"/>
  <c r="J22" i="19"/>
  <c r="I22" i="19"/>
  <c r="H22" i="19"/>
  <c r="K21" i="19"/>
  <c r="J21" i="19"/>
  <c r="I21" i="19"/>
  <c r="H21" i="19"/>
  <c r="K20" i="19"/>
  <c r="J20" i="19"/>
  <c r="I20" i="19"/>
  <c r="H20" i="19"/>
  <c r="K18" i="19"/>
  <c r="J18" i="19"/>
  <c r="I18" i="19"/>
  <c r="H18" i="19"/>
  <c r="K17" i="19"/>
  <c r="J17" i="19"/>
  <c r="I17" i="19"/>
  <c r="H17" i="19"/>
  <c r="K16" i="19"/>
  <c r="J16" i="19"/>
  <c r="I16" i="19"/>
  <c r="H16" i="19"/>
  <c r="K14" i="19"/>
  <c r="J14" i="19"/>
  <c r="I14" i="19"/>
  <c r="H14" i="19"/>
  <c r="K12" i="19"/>
  <c r="J12" i="19"/>
  <c r="I12" i="19"/>
  <c r="H12" i="19"/>
  <c r="K11" i="19"/>
  <c r="J11" i="19"/>
  <c r="I11" i="19"/>
  <c r="H11" i="19"/>
  <c r="K9" i="19"/>
  <c r="J9" i="19"/>
  <c r="I9" i="19"/>
  <c r="H9" i="19"/>
  <c r="K8" i="19"/>
  <c r="J8" i="19"/>
  <c r="I8" i="19"/>
  <c r="H8" i="19"/>
  <c r="K7" i="19"/>
  <c r="J7" i="19"/>
  <c r="I7" i="19"/>
  <c r="H7" i="19"/>
  <c r="K6" i="19"/>
  <c r="J6" i="19"/>
  <c r="I6" i="19"/>
  <c r="H6" i="19"/>
  <c r="N4" i="19" l="1" a="1"/>
  <c r="N4" i="19" s="1"/>
  <c r="D20" i="17"/>
  <c r="D10" i="17"/>
  <c r="F10" i="17" s="1"/>
  <c r="D11" i="17"/>
  <c r="F11" i="17" s="1"/>
  <c r="D12" i="17"/>
  <c r="F12" i="17" s="1"/>
  <c r="D13" i="17"/>
  <c r="F13" i="17" s="1"/>
  <c r="D14" i="17"/>
  <c r="F14" i="17" s="1"/>
  <c r="D15" i="17"/>
  <c r="F15" i="17" s="1"/>
  <c r="D16" i="17"/>
  <c r="F16" i="17" s="1"/>
  <c r="D17" i="17"/>
  <c r="F17" i="17" s="1"/>
  <c r="D18" i="17"/>
  <c r="F18" i="17" s="1"/>
  <c r="D19" i="17"/>
  <c r="F19" i="17" s="1"/>
  <c r="F20" i="17"/>
  <c r="D21" i="17"/>
  <c r="F21" i="17" s="1"/>
  <c r="D22" i="17"/>
  <c r="F22" i="17" s="1"/>
  <c r="D23" i="17"/>
  <c r="F23" i="17" s="1"/>
  <c r="D24" i="17"/>
  <c r="F24" i="17" s="1"/>
  <c r="D25" i="17"/>
  <c r="F25" i="17" s="1"/>
  <c r="D26" i="17"/>
  <c r="F26" i="17" s="1"/>
  <c r="D27" i="17"/>
  <c r="F27" i="17" s="1"/>
  <c r="D28" i="17"/>
  <c r="F28" i="17" s="1"/>
  <c r="D9" i="17"/>
  <c r="F9" i="17" s="1"/>
  <c r="O31" i="17"/>
  <c r="P31" i="17" s="1"/>
  <c r="K31" i="17"/>
  <c r="L31" i="17" s="1"/>
  <c r="O30" i="17"/>
  <c r="P30" i="17" s="1"/>
  <c r="K30" i="17"/>
  <c r="L30" i="17" s="1"/>
  <c r="O29" i="17"/>
  <c r="P29" i="17" s="1"/>
  <c r="K29" i="17"/>
  <c r="L29" i="17" s="1"/>
  <c r="O28" i="17"/>
  <c r="P28" i="17" s="1"/>
  <c r="K28" i="17"/>
  <c r="L28" i="17" s="1"/>
  <c r="P27" i="17"/>
  <c r="O27" i="17"/>
  <c r="K27" i="17"/>
  <c r="L27" i="17" s="1"/>
  <c r="O26" i="17"/>
  <c r="K26" i="17"/>
  <c r="L26" i="17" s="1"/>
  <c r="O25" i="17"/>
  <c r="P25" i="17" s="1"/>
  <c r="K25" i="17"/>
  <c r="L25" i="17" s="1"/>
  <c r="O24" i="17"/>
  <c r="P24" i="17" s="1"/>
  <c r="K24" i="17"/>
  <c r="L24" i="17" s="1"/>
  <c r="O23" i="17"/>
  <c r="P23" i="17" s="1"/>
  <c r="K23" i="17"/>
  <c r="L23" i="17" s="1"/>
  <c r="O22" i="17"/>
  <c r="P22" i="17" s="1"/>
  <c r="K22" i="17"/>
  <c r="L22" i="17" s="1"/>
  <c r="P21" i="17"/>
  <c r="O21" i="17"/>
  <c r="K21" i="17"/>
  <c r="L21" i="17" s="1"/>
  <c r="O20" i="17"/>
  <c r="P20" i="17" s="1"/>
  <c r="K20" i="17"/>
  <c r="L20" i="17" s="1"/>
  <c r="O19" i="17"/>
  <c r="P19" i="17" s="1"/>
  <c r="K19" i="17"/>
  <c r="L19" i="17" s="1"/>
  <c r="O18" i="17"/>
  <c r="P18" i="17" s="1"/>
  <c r="L18" i="17"/>
  <c r="K18" i="17"/>
  <c r="O17" i="17"/>
  <c r="P17" i="17" s="1"/>
  <c r="K17" i="17"/>
  <c r="L17" i="17" s="1"/>
  <c r="O16" i="17"/>
  <c r="P16" i="17" s="1"/>
  <c r="L16" i="17"/>
  <c r="K16" i="17"/>
  <c r="O15" i="17"/>
  <c r="P15" i="17" s="1"/>
  <c r="K15" i="17"/>
  <c r="L15" i="17" s="1"/>
  <c r="O14" i="17"/>
  <c r="P14" i="17" s="1"/>
  <c r="K14" i="17"/>
  <c r="L14" i="17" s="1"/>
  <c r="O13" i="17"/>
  <c r="P13" i="17" s="1"/>
  <c r="K13" i="17"/>
  <c r="L13" i="17" s="1"/>
  <c r="O12" i="17"/>
  <c r="P12" i="17" s="1"/>
  <c r="L12" i="17"/>
  <c r="K12" i="17"/>
  <c r="O11" i="17"/>
  <c r="P11" i="17" s="1"/>
  <c r="K11" i="17"/>
  <c r="L11" i="17" s="1"/>
  <c r="O10" i="17"/>
  <c r="P10" i="17" s="1"/>
  <c r="K10" i="17"/>
  <c r="O9" i="17"/>
  <c r="P9" i="17" s="1"/>
  <c r="K9" i="17"/>
  <c r="L9" i="17" s="1"/>
  <c r="O8" i="17"/>
  <c r="P8" i="17" s="1"/>
  <c r="L8" i="17"/>
  <c r="K8" i="17"/>
  <c r="O7" i="17"/>
  <c r="P7" i="17" s="1"/>
  <c r="K7" i="17"/>
  <c r="L7" i="17" s="1"/>
  <c r="O6" i="17"/>
  <c r="P6" i="17" s="1"/>
  <c r="K6" i="17"/>
  <c r="L6" i="17" s="1"/>
  <c r="P5" i="17"/>
  <c r="O5" i="17"/>
  <c r="K5" i="17"/>
  <c r="L5" i="17" s="1"/>
  <c r="C5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tc={174C06C1-B6B0-424B-9F7E-FDB00348C8F6}</author>
    <author>tc={BB64912A-AE63-46F0-810C-29D3FC03DE30}</author>
    <author>tc={2E71BAF8-2CB5-4D0E-936D-5D55D18A2180}</author>
    <author>tc={0E44C5C3-A9D2-4952-BE2E-B14082344436}</author>
    <author>tc={A108E796-0B24-440B-9583-2C5867163067}</author>
  </authors>
  <commentList>
    <comment ref="C45" authorId="0" shapeId="0" xr:uid="{174C06C1-B6B0-424B-9F7E-FDB00348C8F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1) Weather deck 통해 연결된다면 ANU- [SOL. VALVE] - CHECK VALVE - [SPOOL PIECE] 순으로 작성하였는가 (Standard)
(APPENDIX 4/6.Using a Speel piece_ABS Guide for BWTS)
2) Bulkhead를 관통한다면 ANU - [RFS] - [SOL. VALVE] - CHECK VALVE - [U SEAL] 순으로 작성하였는가 
(APPENDIX 2/Figure 1_ABS Guide for BWTS) &lt;--- Retrofit Case 2 &amp; 3 에서는 해당 구성으로 할 것 (리트로핏팀 요구사항)</t>
      </text>
    </comment>
    <comment ref="C46" authorId="1" shapeId="0" xr:uid="{BB64912A-AE63-46F0-810C-29D3FC03DE30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당사는 LR TAC 미취득, MGDA만 보유하고 있음 (2021년)
- LR TA는 mandatory가 아니며 MGDA 취득으로 LR선박에 설치가 가능함 (installation rule Ch 2.4, 2.5)
- 그러나 CLASS NOTATION에 따라 아래와 같이 구분됩니다. 
- BWTS = MGDA로 커버 가능
- BWTS* = LR TAC 필요 
** 기본설계팀 : 본선 POS 검토시 LR Noration이 "BWTS*" 경우는 DEVIATION LIST에 언급 할 것  </t>
      </text>
    </comment>
    <comment ref="A50" authorId="2" shapeId="0" xr:uid="{2E71BAF8-2CB5-4D0E-936D-5D55D18A218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General Cargo
Container
Passenger ship</t>
      </text>
    </comment>
    <comment ref="A51" authorId="3" shapeId="0" xr:uid="{0E44C5C3-A9D2-4952-BE2E-B1408234443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Oil Tanker  
Chemical Tanker 
VLCC</t>
      </text>
    </comment>
    <comment ref="A55" authorId="4" shapeId="0" xr:uid="{A108E796-0B24-440B-9583-2C58671630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Heavy lift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tc={693BCDDB-8045-4800-BA30-F5126A8125B2}</author>
  </authors>
  <commentList>
    <comment ref="T34" authorId="0" shapeId="0" xr:uid="{693BCDDB-8045-4800-BA30-F5126A8125B2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700조합 형식승인 없음 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tc={7EC1CEFF-C1F4-4832-B618-69BC0374F48F}</author>
    <author>tc={E01D1FBD-1920-4595-BFBE-B916123FCB11}</author>
    <author>tc={9EAECA74-09E6-4C82-993C-1FC35CB42CAA}</author>
    <author>tc={D994DD4D-7726-4EDF-BE85-42000595D667}</author>
    <author>tc={7C5ADA8D-9957-4E50-99E0-3A33AF83065B}</author>
  </authors>
  <commentList>
    <comment ref="C44" authorId="0" shapeId="0" xr:uid="{7EC1CEFF-C1F4-4832-B618-69BC0374F48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1) Weather deck 통해 연결된다면 ANU- [SOL. VALVE] - CHECK VALVE - [SPOOL PIECE] 순으로 작성하였는가 (Standard)
(APPENDIX 4/6.Using a Speel piece_ABS Guide for BWTS)
2) Bulkhead를 관통한다면 ANU - [RFS] - [SOL. VALVE] - CHECK VALVE - [U SEAL] 순으로 작성하였는가 
(APPENDIX 2/Figure 1_ABS Guide for BWTS) &lt;--- Retrofit Case 2 &amp; 3 에서는 해당 구성으로 할 것 (리트로핏팀 요구사항)</t>
      </text>
    </comment>
    <comment ref="C45" authorId="1" shapeId="0" xr:uid="{E01D1FBD-1920-4595-BFBE-B916123FCB11}">
      <text>
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당사는 LR TAC 미취득, MGDA만 보유하고 있음 (2021년)
- LR TA는 mandatory가 아니며 MGDA 취득으로 LR선박에 설치가 가능함 (installation rule Ch 2.4, 2.5)
- 그러나 CLASS NOTATION에 따라 아래와 같이 구분됩니다. 
- BWTS = MGDA로 커버 가능
- BWTS* = LR TAC 필요 
** 기본설계팀 : 본선 POS 검토시 LR Noration이 "BWTS*" 경우는 DEVIATION LIST에 언급 할 것  </t>
      </text>
    </comment>
    <comment ref="A48" authorId="2" shapeId="0" xr:uid="{9EAECA74-09E6-4C82-993C-1FC35CB42CA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General Cargo
Container
Passenger ship</t>
      </text>
    </comment>
    <comment ref="A50" authorId="3" shapeId="0" xr:uid="{D994DD4D-7726-4EDF-BE85-42000595D66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Oil Tanker  
Chemical Tanker 
VLCC</t>
      </text>
    </comment>
    <comment ref="A54" authorId="4" shapeId="0" xr:uid="{7C5ADA8D-9957-4E50-99E0-3A33AF83065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Heavy lift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<sst xmlns="http://schemas.openxmlformats.org/spreadsheetml/2006/main" count="985" uniqueCount="313">
  <si>
    <t>FMU</t>
    <phoneticPr fontId="1" type="noConversion"/>
  </si>
  <si>
    <t>헐넘버 또는 선명</t>
    <phoneticPr fontId="3" type="noConversion"/>
  </si>
  <si>
    <t>작성자</t>
    <phoneticPr fontId="3" type="noConversion"/>
  </si>
  <si>
    <t>검토자</t>
    <phoneticPr fontId="3" type="noConversion"/>
  </si>
  <si>
    <t>승인자</t>
    <phoneticPr fontId="3" type="noConversion"/>
  </si>
  <si>
    <t>Check Sheet</t>
    <phoneticPr fontId="3" type="noConversion"/>
  </si>
  <si>
    <t xml:space="preserve">본선 사양 </t>
    <phoneticPr fontId="3" type="noConversion"/>
  </si>
  <si>
    <t>CHECK</t>
    <phoneticPr fontId="3" type="noConversion"/>
  </si>
  <si>
    <t>기본</t>
    <phoneticPr fontId="1" type="noConversion"/>
  </si>
  <si>
    <t>장비 설치 위치를 확인 하였는가 (예시) ENGINE RM, PUMP RM, ON-DECK RM</t>
    <phoneticPr fontId="1" type="noConversion"/>
  </si>
  <si>
    <t>BALLAST PUMP</t>
    <phoneticPr fontId="1" type="noConversion"/>
  </si>
  <si>
    <t xml:space="preserve">Ballast pump 후단에 ①Check valve ② Manual valve  없을 경우 추가 할 것 </t>
    <phoneticPr fontId="1" type="noConversion"/>
  </si>
  <si>
    <t>EWU</t>
    <phoneticPr fontId="1" type="noConversion"/>
  </si>
  <si>
    <t xml:space="preserve">Gravity Ballasting 적용 시, Valve signal list에 Gravity ballast mode를 반영하였는가 </t>
    <phoneticPr fontId="1" type="noConversion"/>
  </si>
  <si>
    <t>1) 단납기 : HKC 적용   2) 신조: EMERSON 적용</t>
    <phoneticPr fontId="1" type="noConversion"/>
  </si>
  <si>
    <t>(Ver.24.00)</t>
    <phoneticPr fontId="1" type="noConversion"/>
  </si>
  <si>
    <t xml:space="preserve">도면 양식(51-Q-02-08) 최신 적용하고, 도번(TPDXX) 에는 해당 년도를 알맞게 기입하였는가 </t>
    <phoneticPr fontId="1" type="noConversion"/>
  </si>
  <si>
    <r>
      <t xml:space="preserve">Stripping Eductor 에 대하여 아래 내용을 도면상에 기입하였는가 
</t>
    </r>
    <r>
      <rPr>
        <i/>
        <sz val="12"/>
        <color theme="1"/>
        <rFont val="맑은 고딕"/>
        <family val="3"/>
        <charset val="129"/>
        <scheme val="minor"/>
      </rPr>
      <t>EDUCTOR CAPA' SHOULD BE CONSIDERED FOR PRESSURE LOSS BY SHIP'S YARD(or SHIP'S OWNER, ENGINEERING COMPANY)</t>
    </r>
    <phoneticPr fontId="1" type="noConversion"/>
  </si>
  <si>
    <t xml:space="preserve">Stripping에 Driving water를 Ballast pump로 사용할 경우, BWMS 지나지않도록 라인 구성하였는가 </t>
    <phoneticPr fontId="1" type="noConversion"/>
  </si>
  <si>
    <t xml:space="preserve">EWU MOTOR TYPE을 적용 하였는가 </t>
    <phoneticPr fontId="1" type="noConversion"/>
  </si>
  <si>
    <t>Retrofit Case 2 &amp; 3일때 Valve No., Air, FW line 등 기재 하였는가</t>
    <phoneticPr fontId="1" type="noConversion"/>
  </si>
  <si>
    <t xml:space="preserve">선종 Tanker
</t>
    <phoneticPr fontId="1" type="noConversion"/>
  </si>
  <si>
    <t>Retrofit Case 2 &amp; 3</t>
    <phoneticPr fontId="1" type="noConversion"/>
  </si>
  <si>
    <t>해당 선급 입력 후, ctrl + shift + z</t>
    <phoneticPr fontId="1" type="noConversion"/>
  </si>
  <si>
    <t>Bulker, Tanker, Barge, LNG, LPG 입력 후, ctrl + shift + z</t>
    <phoneticPr fontId="1" type="noConversion"/>
  </si>
  <si>
    <t>Check list P&amp;ID (Hychlor 2.0)</t>
    <phoneticPr fontId="3" type="noConversion"/>
  </si>
  <si>
    <t>ECS Componentes list 사양 확인 하였는가 (다양한 장비 사이즈 기입 주의)</t>
    <phoneticPr fontId="1" type="noConversion"/>
  </si>
  <si>
    <t xml:space="preserve">재고 사용 가능 여부 확인하였는가 (FMU, FCV) </t>
    <phoneticPr fontId="1" type="noConversion"/>
  </si>
  <si>
    <t>HGU</t>
    <phoneticPr fontId="1" type="noConversion"/>
  </si>
  <si>
    <t>SWH</t>
    <phoneticPr fontId="1" type="noConversion"/>
  </si>
  <si>
    <t>CIP</t>
    <phoneticPr fontId="1" type="noConversion"/>
  </si>
  <si>
    <t>Ballast pump의 용량 및 운전 조건은 확인 하였는가 (예시) BALLAST 1대 운전, DE-BALLAST 2대 운전</t>
    <phoneticPr fontId="1" type="noConversion"/>
  </si>
  <si>
    <t>DMU</t>
    <phoneticPr fontId="1" type="noConversion"/>
  </si>
  <si>
    <t xml:space="preserve">NIU </t>
    <phoneticPr fontId="1" type="noConversion"/>
  </si>
  <si>
    <t xml:space="preserve">NIU 선정 기준 
1) 2600m3/h 이하 : NIU-A (1대) (2600m3/h 포함) 
2) 2600m3/h 초과 : NIU-B (1대) </t>
    <phoneticPr fontId="1" type="noConversion"/>
  </si>
  <si>
    <t xml:space="preserve">EWU HOSE FLANGE 사이즈 10K-32A로 기재하였는가 </t>
    <phoneticPr fontId="1" type="noConversion"/>
  </si>
  <si>
    <t>FAN SIGNAL</t>
    <phoneticPr fontId="1" type="noConversion"/>
  </si>
  <si>
    <t>최신 도면을 사용하였는가 (TPDHY2024-GA-A001A-SAMPLING)</t>
    <phoneticPr fontId="1" type="noConversion"/>
  </si>
  <si>
    <t>조선소에서 삽입관 공급 요청받았는가, 당사 공급시 도면상에 표현 하였는가 
1) DTS 삽입관, 2) NIU 삽입관, 3) G2 삽입관 or/with Diaphram valve (G2 삽입관 재질 STPG370로 호선팀에 전달)</t>
    <phoneticPr fontId="1" type="noConversion"/>
  </si>
  <si>
    <t xml:space="preserve">Ballasting / De-ballasting 유량 조절 목적이라면 FMU 후단에 위치하였는가 </t>
    <phoneticPr fontId="1" type="noConversion"/>
  </si>
  <si>
    <t>Vaccum 발생 가능한 지점에 Vacuum 해소 가능한 Arrange를 구성 하였는가
- HGU(2.0) Injection line (TO PUMP ROOM)
- NIU Injection line (TO PUMP ROOM)
- On-deck 설치시 Main Ballast line</t>
    <phoneticPr fontId="1" type="noConversion"/>
  </si>
  <si>
    <t xml:space="preserve">NIU Injection line이 Weather deck을 통해 연결되는 경우 관련 Note 명기 하였는가 </t>
    <phoneticPr fontId="1" type="noConversion"/>
  </si>
  <si>
    <t>(Ex-)ECS-Hychlor2.0-250</t>
    <phoneticPr fontId="1" type="noConversion"/>
  </si>
  <si>
    <t>10K-25A</t>
  </si>
  <si>
    <t>16K-25A</t>
    <phoneticPr fontId="17" type="noConversion"/>
  </si>
  <si>
    <t>CPP-025</t>
    <phoneticPr fontId="1" type="noConversion"/>
  </si>
  <si>
    <t>10K-50A</t>
    <phoneticPr fontId="1" type="noConversion"/>
  </si>
  <si>
    <t>HGU(2.0)-050</t>
  </si>
  <si>
    <t>10K-32A</t>
    <phoneticPr fontId="17" type="noConversion"/>
  </si>
  <si>
    <t>DMU(2.0)-050</t>
  </si>
  <si>
    <t>10K-40A</t>
    <phoneticPr fontId="17" type="noConversion"/>
  </si>
  <si>
    <t>10K-40A</t>
    <phoneticPr fontId="1" type="noConversion"/>
  </si>
  <si>
    <t>(Ex-)ECS-Hychlor2.0-300</t>
  </si>
  <si>
    <t>(Ex-)ECS-Hychlor2.0-500</t>
  </si>
  <si>
    <t>16K-32A</t>
    <phoneticPr fontId="17" type="noConversion"/>
  </si>
  <si>
    <t>(Ex-)ECS-Hychlor2.0-600</t>
  </si>
  <si>
    <t>HGU(2.0)-100</t>
  </si>
  <si>
    <t>DMU(2.0)-100</t>
  </si>
  <si>
    <t>10K-50A</t>
    <phoneticPr fontId="17" type="noConversion"/>
  </si>
  <si>
    <t>(Ex-)ECS-Hychlor2.0-1000</t>
  </si>
  <si>
    <t>10K-32A</t>
    <phoneticPr fontId="1" type="noConversion"/>
  </si>
  <si>
    <t>16K-40A</t>
    <phoneticPr fontId="17" type="noConversion"/>
  </si>
  <si>
    <t>CPP-032</t>
    <phoneticPr fontId="1" type="noConversion"/>
  </si>
  <si>
    <t>(Ex-)ECS-Hychlor2.0-1200</t>
  </si>
  <si>
    <t>CPP-040</t>
    <phoneticPr fontId="1" type="noConversion"/>
  </si>
  <si>
    <t>HGU(2.0)-200</t>
    <phoneticPr fontId="1" type="noConversion"/>
  </si>
  <si>
    <t>DMU(2.0)-150</t>
  </si>
  <si>
    <t>(Ex-)ECS-Hychlor2.0-1500</t>
  </si>
  <si>
    <t>16K-50A</t>
    <phoneticPr fontId="17" type="noConversion"/>
  </si>
  <si>
    <t>(Ex-)ECS-Hychlor2.0-1800</t>
  </si>
  <si>
    <t>CPP-050</t>
    <phoneticPr fontId="1" type="noConversion"/>
  </si>
  <si>
    <t>DMU(2.0)-200</t>
  </si>
  <si>
    <t>(Ex-)ECS-Hychlor2.0-2000</t>
  </si>
  <si>
    <t>(Ex-)ECS-Hychlor2.0-2400</t>
  </si>
  <si>
    <t>HGU(2.0)-300</t>
    <phoneticPr fontId="1" type="noConversion"/>
  </si>
  <si>
    <t>10K-65A</t>
    <phoneticPr fontId="17" type="noConversion"/>
  </si>
  <si>
    <t>DMU(2.0)-300</t>
  </si>
  <si>
    <t>(Ex-)ECS-Hychlor2.0-2600</t>
  </si>
  <si>
    <t>10K-65A</t>
    <phoneticPr fontId="1" type="noConversion"/>
  </si>
  <si>
    <t>16K-65A</t>
    <phoneticPr fontId="17" type="noConversion"/>
  </si>
  <si>
    <t>CPP-065</t>
    <phoneticPr fontId="1" type="noConversion"/>
  </si>
  <si>
    <t>(Ex-)ECS-Hychlor2.0-3000</t>
  </si>
  <si>
    <t>(Ex-)ECS-Hychlor2.0-3600</t>
  </si>
  <si>
    <t>16K-80A</t>
    <phoneticPr fontId="17" type="noConversion"/>
  </si>
  <si>
    <t>HGU(2.0)-400</t>
    <phoneticPr fontId="1" type="noConversion"/>
  </si>
  <si>
    <t>10K-80A</t>
    <phoneticPr fontId="17" type="noConversion"/>
  </si>
  <si>
    <t>DMU(2.0)-400</t>
  </si>
  <si>
    <t>(Ex-)ECS-Hychlor2.0-4000</t>
  </si>
  <si>
    <t>10K-80A</t>
    <phoneticPr fontId="1" type="noConversion"/>
  </si>
  <si>
    <t>CPP-080</t>
    <phoneticPr fontId="1" type="noConversion"/>
  </si>
  <si>
    <t>(Ex-)ECS-Hychlor2.0-5000</t>
  </si>
  <si>
    <t>16K-100A</t>
    <phoneticPr fontId="17" type="noConversion"/>
  </si>
  <si>
    <t>HGU(2.0)-500</t>
    <phoneticPr fontId="1" type="noConversion"/>
  </si>
  <si>
    <t>DMU(2.0)-600</t>
  </si>
  <si>
    <t>10K-100A</t>
    <phoneticPr fontId="17" type="noConversion"/>
  </si>
  <si>
    <t>(Ex-)ECS-Hychlor2.0-5200</t>
  </si>
  <si>
    <t>HGU(2.0)-600</t>
    <phoneticPr fontId="1" type="noConversion"/>
  </si>
  <si>
    <t>(Ex-)ECS-Hychlor2.0-6000</t>
  </si>
  <si>
    <t>10K-100A</t>
    <phoneticPr fontId="1" type="noConversion"/>
  </si>
  <si>
    <t>CPP-100</t>
    <phoneticPr fontId="1" type="noConversion"/>
  </si>
  <si>
    <t>(Ex-)ECS-Hychlor2.0-7200</t>
  </si>
  <si>
    <t>HGU(2.0)-800</t>
    <phoneticPr fontId="1" type="noConversion"/>
  </si>
  <si>
    <t>DMU(2.0)-800</t>
  </si>
  <si>
    <t>(Ex-)ECS-Hychlor2.0-8000</t>
  </si>
  <si>
    <t>BALLAST PUMP</t>
    <phoneticPr fontId="3" type="noConversion"/>
  </si>
  <si>
    <t>m3/h</t>
    <phoneticPr fontId="3" type="noConversion"/>
  </si>
  <si>
    <t>SCH.40</t>
    <phoneticPr fontId="3" type="noConversion"/>
  </si>
  <si>
    <t>SCH.80</t>
    <phoneticPr fontId="3" type="noConversion"/>
  </si>
  <si>
    <t xml:space="preserve"> </t>
    <phoneticPr fontId="1" type="noConversion"/>
  </si>
  <si>
    <t>N.D</t>
    <phoneticPr fontId="3" type="noConversion"/>
  </si>
  <si>
    <t>O.D</t>
    <phoneticPr fontId="3" type="noConversion"/>
  </si>
  <si>
    <t>T</t>
    <phoneticPr fontId="18" type="noConversion"/>
  </si>
  <si>
    <t>I.D</t>
    <phoneticPr fontId="18" type="noConversion"/>
  </si>
  <si>
    <t>mm</t>
    <phoneticPr fontId="3" type="noConversion"/>
  </si>
  <si>
    <t>m/s</t>
    <phoneticPr fontId="3" type="noConversion"/>
  </si>
  <si>
    <t>VJAVM</t>
    <phoneticPr fontId="1" type="noConversion"/>
  </si>
  <si>
    <t>Mixing P/P =B/P X 0.01 X 0.3</t>
    <phoneticPr fontId="1" type="noConversion"/>
  </si>
  <si>
    <t>Hychlor 2.0</t>
    <phoneticPr fontId="1" type="noConversion"/>
  </si>
  <si>
    <t>배관 직경</t>
    <phoneticPr fontId="3" type="noConversion"/>
  </si>
  <si>
    <t>배관 사이즈 별 
유속</t>
    <phoneticPr fontId="3" type="noConversion"/>
  </si>
  <si>
    <t>Min 배관(내경)</t>
    <phoneticPr fontId="3" type="noConversion"/>
  </si>
  <si>
    <t>FCV 배관(내경) 사이즈</t>
    <phoneticPr fontId="3" type="noConversion"/>
  </si>
  <si>
    <t>** Mixing pump는 Ballast pump 보다 압력은 크게, FCV는 유속은 느리게 사이즈 선정</t>
    <phoneticPr fontId="1" type="noConversion"/>
  </si>
  <si>
    <t>Ballast pump Head 값을 확인 할 것 
2바 이하이거나 당사 장비 위치상 ballast pump head가 부족하다고 판단 될 경우 선주사에게 문의 할 것</t>
    <phoneticPr fontId="1" type="noConversion"/>
  </si>
  <si>
    <t xml:space="preserve">A.P.Tank의 주배수 펌프 확인 할 것 
Ballast Pump와 Fire GS pump 모두 A.P.Tank를 주배수 가능 한 경우 → Main pump는 Fire GS pump로 구성 할 것 </t>
    <phoneticPr fontId="1" type="noConversion"/>
  </si>
  <si>
    <t xml:space="preserve">AC01V(Safery Fail Closed V/V) 부터 HGU injection line에 PE Coating 이라 명기 할 것 </t>
    <phoneticPr fontId="1" type="noConversion"/>
  </si>
  <si>
    <t xml:space="preserve">HGU와 DMU 사이 PE Coating 배관이 Class piping이라 명기 할 것 </t>
    <phoneticPr fontId="1" type="noConversion"/>
  </si>
  <si>
    <t xml:space="preserve">FCV 후단 메인 배관에 연결되는 HGU INJECTION LINE에 LOOP (Higher than FCV) 구성 할 것 </t>
    <phoneticPr fontId="1" type="noConversion"/>
  </si>
  <si>
    <t xml:space="preserve">1) 다운사이징 전 FMU 유속 3m/s에 맞게 적용 할 것 (재고파악필요) 
2) 다운사이징 시, FMU는 사이즈는 배관 유속을 5m/s (최대 7m/s 이내)에 맞게 고려하여 적용 할 것  (재고파악필요)
◎ 다운사이징 기준 
    - 1단계 사이즈가 300A(포함) 이상인 경우 → 2단계 다운사이즈 적용 
    - 1단계 사이즈가 250A(포함) 이하인 경우 → 1단계 다운사이즈 적용 
    - 1단계 사이즈가 150A(포함) 이하인 경우 → 다운사이즈 미적용 
3) 재고 사용이 1순위 </t>
    <phoneticPr fontId="1" type="noConversion"/>
  </si>
  <si>
    <t xml:space="preserve">Maker : FC KOREA 적용 할 것 </t>
    <phoneticPr fontId="1" type="noConversion"/>
  </si>
  <si>
    <t xml:space="preserve">HGU 후단 FMU에는 2D/1D, 메인 배관 FMU에는 다운사이징 3D/2D를 적용 할 것 </t>
  </si>
  <si>
    <t xml:space="preserve">HGU injection line에 배관 사이즈를 기입 할 것 (CIP 사이즈) </t>
    <phoneticPr fontId="1" type="noConversion"/>
  </si>
  <si>
    <t>HGU injection line와 연결된 메인 배관 사이즈 기입 할 것 (CIP ORIFICE 사이즈)</t>
    <phoneticPr fontId="1" type="noConversion"/>
  </si>
  <si>
    <t xml:space="preserve">DMU 모델에 맞게 Vent size 기입 할 것 </t>
    <phoneticPr fontId="1" type="noConversion"/>
  </si>
  <si>
    <t xml:space="preserve">Flushing line을 삭제 할 것 </t>
    <phoneticPr fontId="1" type="noConversion"/>
  </si>
  <si>
    <t>(Ex-) DTS</t>
    <phoneticPr fontId="1" type="noConversion"/>
  </si>
  <si>
    <t xml:space="preserve">Ex-DTS 용 IS-Barrier를 안전구역에 반영 할 것 </t>
    <phoneticPr fontId="1" type="noConversion"/>
  </si>
  <si>
    <t xml:space="preserve">NIU port와 DTS port가 같은 Pipe line에 설치 될 경우, 5D 거리 기입 할 것 </t>
    <phoneticPr fontId="1" type="noConversion"/>
  </si>
  <si>
    <t>(Ex-)DTS에서 Portable TRO 측정을 위한 Sampling valve를 TRO Sensor inlet에 반영 할 것</t>
    <phoneticPr fontId="1" type="noConversion"/>
  </si>
  <si>
    <t xml:space="preserve">DMU의 Air vent outlet 부근에 5m 표기 할 것 </t>
    <phoneticPr fontId="1" type="noConversion"/>
  </si>
  <si>
    <t xml:space="preserve">(Ex-)DTU의 Air vent outlet 부근에 3m 표기 할 것 </t>
    <phoneticPr fontId="1" type="noConversion"/>
  </si>
  <si>
    <t xml:space="preserve">(If) 삽입관 </t>
    <phoneticPr fontId="1" type="noConversion"/>
  </si>
  <si>
    <t xml:space="preserve">(If) GRAVITY 운전 </t>
    <phoneticPr fontId="1" type="noConversion"/>
  </si>
  <si>
    <t>(If) FCV (MAIN용)</t>
    <phoneticPr fontId="1" type="noConversion"/>
  </si>
  <si>
    <t xml:space="preserve">본선 Cooling S.W.system의 사용 가능한지 검토 할 것 </t>
    <phoneticPr fontId="1" type="noConversion"/>
  </si>
  <si>
    <t xml:space="preserve">SWH(Plate type)을 적용시, 본선 Low Temp. Cooling Fresh Water system 정보 기입 할 것 
· TEMP' : 36 C°
· FLOW RATE : XX m³/h (Feeder pump 사양 동일하게 기입 할 것)
· VELOCITY : 1.67 m/s </t>
    <phoneticPr fontId="1" type="noConversion"/>
  </si>
  <si>
    <t>HGU설치 한 구역 Room내 FAN interlock을 반영 하였는가 (BWMS Valve signal 반영)
- Tanker 선에서 HGU가 설치된 안전구역 Room 내 Fan interlock 필요.
  HGU injection line 연결된 위험구역 Room 내 Fan interlock 불필요.</t>
    <phoneticPr fontId="1" type="noConversion"/>
  </si>
  <si>
    <t>10K-25A</t>
    <phoneticPr fontId="1" type="noConversion"/>
  </si>
  <si>
    <t>선급 ABS</t>
    <phoneticPr fontId="1" type="noConversion"/>
  </si>
  <si>
    <t>LNG/LPG 선종의 경우, Valve signal list에 Gas Detecting in inter-barrier space signal을 반영하였는가 
Section 5_3_ⅲ)</t>
    <phoneticPr fontId="1" type="noConversion"/>
  </si>
  <si>
    <r>
      <t xml:space="preserve">Safety area 에서 Hazardosus area로 연결 될 경우  (상세내용 - 메모) 
1) Weather deck 통해 연결된다면 NIU- [SOL. VALVE] - CHECK VALVE - [SPOOL PIECE] 순으로 작성하였는가 (Standard)
2) Bulkhead를 관통한다면           NIU - [RFS] - [SOL. VALVE] - CHECK VALVE - [U SEAL] 순으로 작성하였는가 </t>
    </r>
    <r>
      <rPr>
        <sz val="12"/>
        <color rgb="FFFF0000"/>
        <rFont val="맑은 고딕"/>
        <family val="3"/>
        <charset val="129"/>
        <scheme val="major"/>
      </rPr>
      <t xml:space="preserve">
</t>
    </r>
    <r>
      <rPr>
        <sz val="12"/>
        <rFont val="맑은 고딕"/>
        <family val="3"/>
        <charset val="129"/>
        <scheme val="major"/>
      </rPr>
      <t xml:space="preserve">* Retrofit Case 2 &amp; 3 에서는 2)항으로 구성 할 것 (리트로핏팀 요구사항)
</t>
    </r>
    <r>
      <rPr>
        <u/>
        <sz val="12"/>
        <rFont val="맑은 고딕"/>
        <family val="3"/>
        <charset val="129"/>
        <scheme val="major"/>
      </rPr>
      <t>* HGU Injection도 해당됨 (Check valve 반영 주의 할 것)</t>
    </r>
    <phoneticPr fontId="1" type="noConversion"/>
  </si>
  <si>
    <t>선급 LR</t>
    <phoneticPr fontId="1" type="noConversion"/>
  </si>
  <si>
    <t xml:space="preserve">본선 POS 검토시 LR Notation이 [BWTS*] 경우 Deviation list에 LA TAC가 필요함을 영업팀에 전달 할 것 (상세내용 - 메모) </t>
    <phoneticPr fontId="1" type="noConversion"/>
  </si>
  <si>
    <t>선급 KR</t>
    <phoneticPr fontId="1" type="noConversion"/>
  </si>
  <si>
    <t xml:space="preserve">KR + KG 시, MANUAL도 승인 필요함을 인지하고 있는가 </t>
    <phoneticPr fontId="1" type="noConversion"/>
  </si>
  <si>
    <t>선종 Bulker</t>
    <phoneticPr fontId="1" type="noConversion"/>
  </si>
  <si>
    <t>(If Retrofit) T.S.TK(Top Side Tank) 유무를 확인 하였는가</t>
    <phoneticPr fontId="1" type="noConversion"/>
  </si>
  <si>
    <t>(If Retrofit) 탱크 (Slop TK/Grey water TK/Wash hold TK….etc..) 겸용사용있는지 확인 하였는가</t>
    <phoneticPr fontId="1" type="noConversion"/>
  </si>
  <si>
    <t>선종 Barge</t>
    <phoneticPr fontId="1" type="noConversion"/>
  </si>
  <si>
    <t>Stripping eductor가 아닌 Stripping pump사용될 경우 FMU 추가하였는 가.</t>
    <phoneticPr fontId="1" type="noConversion"/>
  </si>
  <si>
    <t>W.B.TK에 Overflow line이 있는지 확인할 것. Overflow라인으로 배출되는 발라스트수도 중화처리 후 배출 필요함.</t>
    <phoneticPr fontId="1" type="noConversion"/>
  </si>
  <si>
    <t>선종 LNG / LPG</t>
    <phoneticPr fontId="1" type="noConversion"/>
  </si>
  <si>
    <t>(If Retrofit) BWMS inlet/outlet 지관 작성 시 타시스템 (주로 Inert gas system)과의 connection 끊지않도록 구성하였는가</t>
    <phoneticPr fontId="1" type="noConversion"/>
  </si>
  <si>
    <t>선급</t>
    <phoneticPr fontId="1" type="noConversion"/>
  </si>
  <si>
    <t>선종</t>
    <phoneticPr fontId="1" type="noConversion"/>
  </si>
  <si>
    <t xml:space="preserve">◎ HGU-700 모델이 없고, DMU-500, 700 모델 없습니다. </t>
    <phoneticPr fontId="1" type="noConversion"/>
  </si>
  <si>
    <t>◎ NIU 선정 기준 
   1) 2600m3/h 이하 : NIU-A (1대) (2600m3/h 포함) 
   2) 2600m3/h 초과 : NIU-B (1대) (Max. 12000 처리 가능)</t>
    <phoneticPr fontId="1" type="noConversion"/>
  </si>
  <si>
    <t>(Ex-)ECS-Hychlor2.0-2500</t>
    <phoneticPr fontId="1" type="noConversion"/>
  </si>
  <si>
    <t>(Ex-)ECS-Hychlor2.0-3500</t>
    <phoneticPr fontId="1" type="noConversion"/>
  </si>
  <si>
    <t>(Ex-)ECS-Hychlor2.0-4500</t>
    <phoneticPr fontId="1" type="noConversion"/>
  </si>
  <si>
    <t>(Ex-)ECS-Hychlor2.0-5500</t>
    <phoneticPr fontId="1" type="noConversion"/>
  </si>
  <si>
    <t>(Ex-)ECS-Hychlor2.0-6500</t>
    <phoneticPr fontId="1" type="noConversion"/>
  </si>
  <si>
    <t>(Ex-)ECS-Hychlor2.0-7500</t>
    <phoneticPr fontId="1" type="noConversion"/>
  </si>
  <si>
    <t>16K-80A</t>
    <phoneticPr fontId="1" type="noConversion"/>
  </si>
  <si>
    <t>16K-100A</t>
    <phoneticPr fontId="1" type="noConversion"/>
  </si>
  <si>
    <t>배관 직경 N.D</t>
    <phoneticPr fontId="1" type="noConversion"/>
  </si>
  <si>
    <t>50A</t>
    <phoneticPr fontId="1" type="noConversion"/>
  </si>
  <si>
    <t>65A</t>
    <phoneticPr fontId="1" type="noConversion"/>
  </si>
  <si>
    <t>80A</t>
    <phoneticPr fontId="1" type="noConversion"/>
  </si>
  <si>
    <t>100A</t>
    <phoneticPr fontId="1" type="noConversion"/>
  </si>
  <si>
    <t>`</t>
    <phoneticPr fontId="1" type="noConversion"/>
  </si>
  <si>
    <t>40A</t>
    <phoneticPr fontId="1" type="noConversion"/>
  </si>
  <si>
    <t>32A</t>
    <phoneticPr fontId="1" type="noConversion"/>
  </si>
  <si>
    <t>25A</t>
    <phoneticPr fontId="1" type="noConversion"/>
  </si>
  <si>
    <t>20A</t>
    <phoneticPr fontId="1" type="noConversion"/>
  </si>
  <si>
    <t>Feeder Pump
Flange size</t>
    <phoneticPr fontId="1" type="noConversion"/>
  </si>
  <si>
    <t xml:space="preserve">16K-80A </t>
    <phoneticPr fontId="1" type="noConversion"/>
  </si>
  <si>
    <t xml:space="preserve">HGU(2.0)-150 </t>
    <phoneticPr fontId="1" type="noConversion"/>
  </si>
  <si>
    <t>HGU(2.0)-250</t>
    <phoneticPr fontId="1" type="noConversion"/>
  </si>
  <si>
    <t xml:space="preserve">HGU(2.0)-250 </t>
    <phoneticPr fontId="1" type="noConversion"/>
  </si>
  <si>
    <t xml:space="preserve">HGU(2.0)-350 </t>
    <phoneticPr fontId="1" type="noConversion"/>
  </si>
  <si>
    <t xml:space="preserve">HGU(2.0)-450 </t>
    <phoneticPr fontId="1" type="noConversion"/>
  </si>
  <si>
    <t xml:space="preserve">HGU(2.0)-550 </t>
    <phoneticPr fontId="1" type="noConversion"/>
  </si>
  <si>
    <t>HGU(2.0)-750</t>
    <phoneticPr fontId="1" type="noConversion"/>
  </si>
  <si>
    <t>HGU(2.0)-550</t>
    <phoneticPr fontId="1" type="noConversion"/>
  </si>
  <si>
    <t>HGU(2.0)-650</t>
    <phoneticPr fontId="1" type="noConversion"/>
  </si>
  <si>
    <t xml:space="preserve">HGU(2.0)-750 </t>
    <phoneticPr fontId="1" type="noConversion"/>
  </si>
  <si>
    <t>AC01V
최소 50A</t>
    <phoneticPr fontId="1" type="noConversion"/>
  </si>
  <si>
    <t>DMU(2.0)
최소 40A</t>
    <phoneticPr fontId="1" type="noConversion"/>
  </si>
  <si>
    <t>FMU 
최소 40A</t>
    <phoneticPr fontId="1" type="noConversion"/>
  </si>
  <si>
    <t>FCV
최소 50A</t>
    <phoneticPr fontId="1" type="noConversion"/>
  </si>
  <si>
    <t>Feeder pump (KSB)</t>
    <phoneticPr fontId="1" type="noConversion"/>
  </si>
  <si>
    <t>HGU(2.0)-100</t>
    <phoneticPr fontId="1" type="noConversion"/>
  </si>
  <si>
    <t>수식</t>
    <phoneticPr fontId="1" type="noConversion"/>
  </si>
  <si>
    <t xml:space="preserve">SIDE - STREAM 배관 사이즈 (형식승인 기준) </t>
    <phoneticPr fontId="1" type="noConversion"/>
  </si>
  <si>
    <t>Feeder Pump 
(m3/h)</t>
    <phoneticPr fontId="1" type="noConversion"/>
  </si>
  <si>
    <t xml:space="preserve">PE 배관
최소 40A </t>
    <phoneticPr fontId="1" type="noConversion"/>
  </si>
  <si>
    <t>HGU(2.0)
(50, 100 조합)</t>
    <phoneticPr fontId="1" type="noConversion"/>
  </si>
  <si>
    <t>2.5m3x60m</t>
    <phoneticPr fontId="1" type="noConversion"/>
  </si>
  <si>
    <t>3m3x60m</t>
    <phoneticPr fontId="1" type="noConversion"/>
  </si>
  <si>
    <t>5m3x60m</t>
    <phoneticPr fontId="1" type="noConversion"/>
  </si>
  <si>
    <t>6m3x60m</t>
    <phoneticPr fontId="1" type="noConversion"/>
  </si>
  <si>
    <t>10m3x60m</t>
    <phoneticPr fontId="1" type="noConversion"/>
  </si>
  <si>
    <t>12m3x60m</t>
    <phoneticPr fontId="1" type="noConversion"/>
  </si>
  <si>
    <t>15m3x60m</t>
    <phoneticPr fontId="1" type="noConversion"/>
  </si>
  <si>
    <t>18m3x60m</t>
    <phoneticPr fontId="1" type="noConversion"/>
  </si>
  <si>
    <t>20m3x60m</t>
    <phoneticPr fontId="1" type="noConversion"/>
  </si>
  <si>
    <t>24m3x60m</t>
    <phoneticPr fontId="1" type="noConversion"/>
  </si>
  <si>
    <t>25m3x60m</t>
    <phoneticPr fontId="1" type="noConversion"/>
  </si>
  <si>
    <t>26m3x60m</t>
    <phoneticPr fontId="1" type="noConversion"/>
  </si>
  <si>
    <t>30m3x60m</t>
    <phoneticPr fontId="1" type="noConversion"/>
  </si>
  <si>
    <t>35m3x60m</t>
    <phoneticPr fontId="1" type="noConversion"/>
  </si>
  <si>
    <t>36m3x60m</t>
    <phoneticPr fontId="1" type="noConversion"/>
  </si>
  <si>
    <t>40m3x60m</t>
    <phoneticPr fontId="1" type="noConversion"/>
  </si>
  <si>
    <t>45m3x60m</t>
    <phoneticPr fontId="1" type="noConversion"/>
  </si>
  <si>
    <t>50m3x60m</t>
    <phoneticPr fontId="1" type="noConversion"/>
  </si>
  <si>
    <t>52m3x60m</t>
    <phoneticPr fontId="1" type="noConversion"/>
  </si>
  <si>
    <t>55m3x60m</t>
    <phoneticPr fontId="1" type="noConversion"/>
  </si>
  <si>
    <t>60m3x60m</t>
    <phoneticPr fontId="1" type="noConversion"/>
  </si>
  <si>
    <t>65m3x60m</t>
    <phoneticPr fontId="1" type="noConversion"/>
  </si>
  <si>
    <t>72m3x60m</t>
    <phoneticPr fontId="1" type="noConversion"/>
  </si>
  <si>
    <t>75m3x60m</t>
    <phoneticPr fontId="1" type="noConversion"/>
  </si>
  <si>
    <t>80m3x60m</t>
    <phoneticPr fontId="1" type="noConversion"/>
  </si>
  <si>
    <t>ST
25A~100A</t>
    <phoneticPr fontId="1" type="noConversion"/>
  </si>
  <si>
    <t xml:space="preserve">Oil carrier 선종의 경우, Valve signal list에 HC GAS Dection signal을 반영하였는가 
[ABS] MVR_PART6_CH6_SEC2 3.3.2 ii) C) For chemical carriers: 1) </t>
    <phoneticPr fontId="1" type="noConversion"/>
  </si>
  <si>
    <t>(Ex-)ECS-Hychlor2.0-2400</t>
    <phoneticPr fontId="1" type="noConversion"/>
  </si>
  <si>
    <r>
      <t xml:space="preserve">                       주요 장비 
</t>
    </r>
    <r>
      <rPr>
        <b/>
        <sz val="11"/>
        <rFont val="맑은 고딕"/>
        <family val="3"/>
        <charset val="129"/>
        <scheme val="minor"/>
      </rPr>
      <t xml:space="preserve">HYCHLOR 2.0 </t>
    </r>
    <phoneticPr fontId="1" type="noConversion"/>
  </si>
  <si>
    <t>FP 플랜지 1단계 UP</t>
    <phoneticPr fontId="1" type="noConversion"/>
  </si>
  <si>
    <t>★ 형식승인 사이즈 고정</t>
    <phoneticPr fontId="1" type="noConversion"/>
  </si>
  <si>
    <t>CPP
25A~100A</t>
    <phoneticPr fontId="1" type="noConversion"/>
  </si>
  <si>
    <t>Feeder pump &lt;-&gt; DMU 
배관 사이즈 유속 = 1.5~2.0m/s 기준</t>
    <phoneticPr fontId="1" type="noConversion"/>
  </si>
  <si>
    <t>SWH 
Plate type</t>
    <phoneticPr fontId="1" type="noConversion"/>
  </si>
  <si>
    <t xml:space="preserve">◎ HGU-100 당 PRM-B 1대씩, HGU-50 당 PRM-A 1대씩 </t>
    <phoneticPr fontId="1" type="noConversion"/>
  </si>
  <si>
    <t>★ 형식승인 고정</t>
    <phoneticPr fontId="1" type="noConversion"/>
  </si>
  <si>
    <t>계산된 배관에 따라</t>
    <phoneticPr fontId="1" type="noConversion"/>
  </si>
  <si>
    <t>10K-40A
10K-40A</t>
    <phoneticPr fontId="1" type="noConversion"/>
  </si>
  <si>
    <t>10K-50A
10K-50A</t>
    <phoneticPr fontId="1" type="noConversion"/>
  </si>
  <si>
    <t>10K-65A
10K-65A</t>
    <phoneticPr fontId="1" type="noConversion"/>
  </si>
  <si>
    <t>10K-80A
10K-80A</t>
    <phoneticPr fontId="1" type="noConversion"/>
  </si>
  <si>
    <t>10K-100A
10K-100A</t>
    <phoneticPr fontId="1" type="noConversion"/>
  </si>
  <si>
    <t>계산된 배관에 따라</t>
  </si>
  <si>
    <t>장비 사이즈</t>
    <phoneticPr fontId="1" type="noConversion"/>
  </si>
  <si>
    <t>Feeder pump의 1/2 용량
배관 사이즈 유속 = 1.5~2.0m/s 기준</t>
    <phoneticPr fontId="1" type="noConversion"/>
  </si>
  <si>
    <t>DMU 후단 1 line</t>
    <phoneticPr fontId="1" type="noConversion"/>
  </si>
  <si>
    <t>DMU 후단 2 line 이상</t>
    <phoneticPr fontId="1" type="noConversion"/>
  </si>
  <si>
    <t>HYCHLOR 2.0 SIDE 배관 사이즈 (2025.07.07)</t>
    <phoneticPr fontId="1" type="noConversion"/>
  </si>
  <si>
    <t>2025.07.07
SIDE 배관 사이즈 기준 변경 (엑셀에 따라 적용) 
  1) Suction line, ST 사이즈는 유량 확보를 위해 Feeder pump Flange size 보다 한 단계 위로 적용 
     ST가 Feeder pump flange size 보다 큰 사이즈가 없는 경우, 동일 사이즈로 적용 
      단 Suction line는 한단계 위 적용  
  2) Feeder pump &lt;-&gt; DMU 까지 배관 사이즈 유속 = 1.5~2.0m/s 기준
  3) DMU 이후 Discharge line 이 1 lines 인 경우 2) 사이즈와 동일 
      DMU 이후 Discharge line 이 2 lines 인 경우 분기되는 유량에 따라(FEEDER PUMP 1/2) 유속은 1.5~2.0m/s 기준
      (최대 1단계 낮게 적용 가능) 
  4) CPP, AC01V, FMU, FCV 사이즈는 배관 사이즈와 동일하게 적용 (최소 사이즈 있음) 
  5) 도면 검토시, 관련 유량/유속 기재하여 확인 받을 것</t>
    <phoneticPr fontId="1" type="noConversion"/>
  </si>
  <si>
    <t>(Ver.25.01)</t>
    <phoneticPr fontId="1" type="noConversion"/>
  </si>
  <si>
    <t xml:space="preserve">AC01V ↔ HGU ↔ DMU ↔ FMU 사이에는 "사이즈 및 PE COATING"이라 명기 할 것 </t>
    <phoneticPr fontId="1" type="noConversion"/>
  </si>
  <si>
    <t>FMU 
(SIDE)</t>
    <phoneticPr fontId="1" type="noConversion"/>
  </si>
  <si>
    <t>FMU 
(MAIN)</t>
    <phoneticPr fontId="1" type="noConversion"/>
  </si>
  <si>
    <t xml:space="preserve">메인 배관 FMU에는 다운사이징 3D/2D를 적용 할 것 
1) 다운사이징 전 FMU 유속 3m/s에 맞게 적용 할 것 (재고파악필요) 
2) 다운사이징 시, FMU는 사이즈는 배관 유속을 5m/s (최대 7m/s 이내)에 맞게 고려하여 적용 할 것  (재고파악필요)
◎ 다운사이징 기준 
    - 1단계 사이즈가 300A(포함) 이상인 경우 → 2단계 다운사이즈 적용 
    - 1단계 사이즈가 250A(포함) 이하인 경우 → 1단계 다운사이즈 적용 
    - 1단계 사이즈가 150A(포함) 이하인 경우 → 다운사이즈 미적용 
3) 재고 사용이 1순위 </t>
    <phoneticPr fontId="1" type="noConversion"/>
  </si>
  <si>
    <t>NO.1 Ex-DTS, NO.2 DTS 넘버링 기재 할 것</t>
    <phoneticPr fontId="1" type="noConversion"/>
  </si>
  <si>
    <t xml:space="preserve">최신 도면을 사용하였는가 TPDHY2025-GA-A001A-SAMPLING (CIP에 JIS FLANGE 10K 기재되어 있음) </t>
    <phoneticPr fontId="1" type="noConversion"/>
  </si>
  <si>
    <t>SAMPLING DETAIL DRAWING</t>
    <phoneticPr fontId="1" type="noConversion"/>
  </si>
  <si>
    <r>
      <t xml:space="preserve">Safety area 에서 Hazardosus area로 연결 될 경우  (상세내용 - 메모) 
1) Weather deck 통해 연결된다면 NIU- [SOL. VALVE] - CHECK VALVE - [SPOOL PIECE] 순으로 작성 할 것 
2) Bulkhead를 관통한다면           NIU - [RFS] - [SOL. VALVE] - CHECK VALVE - [U SEAL] 순으로 작성 할 것 </t>
    </r>
    <r>
      <rPr>
        <sz val="12"/>
        <color rgb="FFFF0000"/>
        <rFont val="맑은 고딕"/>
        <family val="3"/>
        <charset val="129"/>
        <scheme val="major"/>
      </rPr>
      <t xml:space="preserve">
</t>
    </r>
    <r>
      <rPr>
        <sz val="12"/>
        <rFont val="맑은 고딕"/>
        <family val="3"/>
        <charset val="129"/>
        <scheme val="major"/>
      </rPr>
      <t xml:space="preserve">* Retrofit Case 2 &amp; 3 에서는 2)항으로 구성 할 것 (리트로핏팀 요구사항)
</t>
    </r>
    <r>
      <rPr>
        <u/>
        <sz val="12"/>
        <rFont val="맑은 고딕"/>
        <family val="3"/>
        <charset val="129"/>
        <scheme val="major"/>
      </rPr>
      <t>* HGU Injection도 해당됨 (Check valve 반영 주의 할 것)</t>
    </r>
    <phoneticPr fontId="1" type="noConversion"/>
  </si>
  <si>
    <t xml:space="preserve">EWU MOTOR TYPE을 적용 할 것 </t>
    <phoneticPr fontId="1" type="noConversion"/>
  </si>
  <si>
    <t xml:space="preserve">EWU HOSE FLANGE 사이즈 10K-32A로 기재 할 것 </t>
    <phoneticPr fontId="1" type="noConversion"/>
  </si>
  <si>
    <t>조선소에서 삽입관 공급 요청받았는가, 당사 공급시 도면상에 표현 하였는가 
1) DTS 삽입관, 2) NIU 삽입관, 3) G2 삽입관 or/with Diaphram valve (G2 삽입관 재질 STPG370로 호선팀에 전달)
2) 당사 제공시 FLANGE 5K, 10K 기재 할 것</t>
    <phoneticPr fontId="1" type="noConversion"/>
  </si>
  <si>
    <t>1) 단납기 : HKC 적용   
2) 신조: EMERSON 적용 
   - 300A 이하 사이즈 : SPANNER 제공 (하이클로에서 어떻게 제공되고 있는지 호선팀 확인 필요)
   - 350A 이상 사이즈 : PHP 제공 (하이클로에서 어떻게 제공되고 있는지 호선팀 확인 필요)</t>
    <phoneticPr fontId="1" type="noConversion"/>
  </si>
  <si>
    <t>Main 1line</t>
    <phoneticPr fontId="1" type="noConversion"/>
  </si>
  <si>
    <t>Main 2line</t>
    <phoneticPr fontId="1" type="noConversion"/>
  </si>
  <si>
    <t>구분</t>
    <phoneticPr fontId="1" type="noConversion"/>
  </si>
  <si>
    <t>10K-50A
→ 10K-40A</t>
    <phoneticPr fontId="17" type="noConversion"/>
  </si>
  <si>
    <t xml:space="preserve">HGU ↔ DMU에는 "CLASS PIPING"이라 명기 할 것 (1급관 적용) </t>
    <phoneticPr fontId="1" type="noConversion"/>
  </si>
  <si>
    <t>MAKER : FC KOREA 적용됨 (표준)</t>
    <phoneticPr fontId="1" type="noConversion"/>
  </si>
  <si>
    <t xml:space="preserve">DNV 선급의 경우에만 DMU VENT PIPE에  "CLASS PIPING"이라 명기 할 것 (1급관 적용) </t>
    <phoneticPr fontId="1" type="noConversion"/>
  </si>
  <si>
    <t>CIP, ORIFICE 사이즈 기입 할 것</t>
    <phoneticPr fontId="1" type="noConversion"/>
  </si>
  <si>
    <t>FLUSHING LINE 없음 (액상형이라서 필요 없다고 함)</t>
    <phoneticPr fontId="1" type="noConversion"/>
  </si>
  <si>
    <t xml:space="preserve">NIU PORT와 DTS PORT가 같은 PIPE LINE에 설치 될 경우, 5D 거리 기입 할 것 </t>
    <phoneticPr fontId="1" type="noConversion"/>
  </si>
  <si>
    <t xml:space="preserve">CIP와 와 DTS PORT가 같은 PIPE LINE에 설치 될 경우, 5D 거리 기입 할 것 </t>
    <phoneticPr fontId="1" type="noConversion"/>
  </si>
  <si>
    <t xml:space="preserve">(Ex-)DTU의 AIR VNET OUTLET에는 5M 표기 할 것 AIR VNET OUTLET에는 5M 표기 할 것 </t>
    <phoneticPr fontId="1" type="noConversion"/>
  </si>
  <si>
    <t>선급 DNV</t>
    <phoneticPr fontId="1" type="noConversion"/>
  </si>
  <si>
    <t>선종 Tanker
안전구역 -&gt; 위험구역</t>
    <phoneticPr fontId="1" type="noConversion"/>
  </si>
  <si>
    <t xml:space="preserve">Vaccum 발생 가능한 지점에 Vacuum 해소 가능한 Arrange를 구성 하였는가
- HGU(2.0) Injection line (TO PUMP ROOM)
- NIU Injection line (TO PUMP ROOM)
- On-deck 설치시에는 불필요 </t>
    <phoneticPr fontId="1" type="noConversion"/>
  </si>
  <si>
    <t xml:space="preserve">STRIPPING DIRIVING WATER를 BALLAST PUMP로 사용 할 경우, BWMS 지나지않도록 라인 구성하였는가 </t>
    <phoneticPr fontId="1" type="noConversion"/>
  </si>
  <si>
    <r>
      <t xml:space="preserve">NIU INJECTION LINE이 WEATHER DECK을 통해 연결되는 경우 관련 NOTE명기 도면상에 기재 하였는가 
</t>
    </r>
    <r>
      <rPr>
        <sz val="10"/>
        <color theme="1"/>
        <rFont val="맑은 고딕"/>
        <family val="3"/>
        <charset val="129"/>
        <scheme val="minor"/>
      </rPr>
      <t>※ EXCESSIVE VACUUM MAY BE FOUND IN THE NIU PIPES WHEN SHIFTING THE 
   NEUTRALIZATION REAGENT DOWNSTREAM FROM AN ELEVATED PLACE, HENCE  
   COUNTERMEASURES SUCH AS INSTALLATION OF VACUUM VALVES SHOULD BE CONSIDERED.
※ IF THE AMBIENT TEMPERATURE IS BELOW 0°C, THE NIU DOSING PIPE ON WEATHER 
   DECK SHALL BE EQUIPPED WITH THERMAL INSULATION</t>
    </r>
    <phoneticPr fontId="1" type="noConversion"/>
  </si>
  <si>
    <r>
      <t xml:space="preserve">STRIPPING LINE이 ON-DECK쪽 MAIN LINE에 연결되어야 하는 경우, 아래 내용을 기재 할 것 
</t>
    </r>
    <r>
      <rPr>
        <sz val="10"/>
        <color theme="1"/>
        <rFont val="맑은 고딕"/>
        <family val="3"/>
        <charset val="129"/>
        <scheme val="minor"/>
      </rPr>
      <t>EDUCTOR CAPA' SHOULD BE CONSIDERED FOR PRESSURE LOSS BY SHIP'S YARD(or SHIP'S OWNER, ENGINEERING COMPANY)</t>
    </r>
    <phoneticPr fontId="1" type="noConversion"/>
  </si>
  <si>
    <t>STRIPPING EDUCTOR가 아닌 STRIPPING PUMP 인 경우 별도 FMU 추가하였는 가.</t>
    <phoneticPr fontId="1" type="noConversion"/>
  </si>
  <si>
    <t>W.B.TK에 OVERFLOW LINE이 있는지 확인 할 것 (OVER FLOW 라인으로 배출되는 발라스트수도 중화처리 후 배출 필요함.)</t>
    <phoneticPr fontId="1" type="noConversion"/>
  </si>
  <si>
    <t>(If Retrofit) BWMS INLET/OUTLET 지관 구성 시 타시스템 (주로 Inert gas system)과의 연결이 끊지않도록 구성하였는가</t>
    <phoneticPr fontId="1" type="noConversion"/>
  </si>
  <si>
    <t>CHECK LIST</t>
    <phoneticPr fontId="3" type="noConversion"/>
  </si>
  <si>
    <t>CHECK LIST P&amp;ID (HYCHLOR 2.0)</t>
    <phoneticPr fontId="3" type="noConversion"/>
  </si>
  <si>
    <t>도번(TPDxxx)에 해당 년도를 정확히 기입하였는가</t>
    <phoneticPr fontId="1" type="noConversion"/>
  </si>
  <si>
    <t>ECS COMPONENTS LIST를 확인하였는가 (장비 사이즈 기입 시 주의)</t>
    <phoneticPr fontId="1" type="noConversion"/>
  </si>
  <si>
    <t>장비 설치 위치를 확인하였는가 (예: ENGINE RM, PUMP RM, ON-DECK RM)</t>
    <phoneticPr fontId="1" type="noConversion"/>
  </si>
  <si>
    <t>재고 및 사용 가능 여부를 확인하였는가 (FMU, FCV)</t>
    <phoneticPr fontId="1" type="noConversion"/>
  </si>
  <si>
    <t>BALLAST PUMP의 용량 및 운전 조건을 확인하였는가 (예: BALLAST 1대 운전, DE-BALLAST 2대 운전)</t>
    <phoneticPr fontId="1" type="noConversion"/>
  </si>
  <si>
    <t>BALLAST PUMP 후단에 ① CHECK VALVE, ② MANUAL VALVE가 없을 경우 추가할 것</t>
    <phoneticPr fontId="1" type="noConversion"/>
  </si>
  <si>
    <t>BALLAST PUMP HEAD 값을 확인 할 것
2바 이하이거나 당사 장비 위치상 BALLAST PUMP HEAD가 부족하다고 판단될 경우 선주사와 협의할 것</t>
    <phoneticPr fontId="1" type="noConversion"/>
  </si>
  <si>
    <t>A.P.T.K 주배수 펌프를 확인할 것
BALLAST PUMP와 FIRE GS PUMP 모두 A.P.T.K 주배수 가능 시 MAIN PUMP는 FIRE GS PUMP로 구성할 것</t>
    <phoneticPr fontId="1" type="noConversion"/>
  </si>
  <si>
    <t>OPTION1. 본선 COOLING S.W. SYSTEM 사용 유무 확인할 것 (SWH 적용 유무 검토)</t>
    <phoneticPr fontId="1" type="noConversion"/>
  </si>
  <si>
    <t>OPTION2. SWH(Plate type) 적용 시, 본선 L.T.C.W. 정보 기입할 것
· TEMP' : APPROX.36℃
· FLOW RATE : XX m³/h</t>
    <phoneticPr fontId="1" type="noConversion"/>
  </si>
  <si>
    <t>DMU AIR VENT OUTLET에는 5M 표기할 것</t>
    <phoneticPr fontId="1" type="noConversion"/>
  </si>
  <si>
    <t>SPARK ARRESTOR 기입할 것</t>
    <phoneticPr fontId="1" type="noConversion"/>
  </si>
  <si>
    <t>HGU 후단 FMU에는 2D/1D 적용할 것</t>
    <phoneticPr fontId="1" type="noConversion"/>
  </si>
  <si>
    <t>FMU, FCV 후단 LOOP 구간에 "HIGHER THAN FMU"라 명기할 것</t>
    <phoneticPr fontId="1" type="noConversion"/>
  </si>
  <si>
    <t>NOTE 페이지에서 NOTE, FMU 기재 여부 확인할 것</t>
    <phoneticPr fontId="1" type="noConversion"/>
  </si>
  <si>
    <t>MAKER: FC KOREA 적용됨 (표준)</t>
    <phoneticPr fontId="1" type="noConversion"/>
  </si>
  <si>
    <t xml:space="preserve">CIP 사이즈와 MAIN 배관 사이즈는 형식승인 기준에 따라 해당되는 범위내에서 반영 할 것 
- 예시, MAIN 배관 500A, SIDE 배관 65A 인 경우
- SIDE 배관 끝단에 레듀서 반영 (65A/50A) * 한단계 낮은 사이즈로 적용 할 것 
- PNID 상에 레듀서 사이즈 쓸 것 </t>
    <phoneticPr fontId="1" type="noConversion"/>
  </si>
  <si>
    <t xml:space="preserve">GRAVITY BALLASTING 적용 시, VALVE SIGNAL LIST에 GRAVITY BALLAST MODE를 반영 할 것 (다른 밸브 신호로도 대체 가능) </t>
    <phoneticPr fontId="1" type="noConversion"/>
  </si>
  <si>
    <t xml:space="preserve">BALLASTING/DE-BALLASTING 유량 조절 목적이라면 FMU 후단에 추가 할 것 </t>
    <phoneticPr fontId="1" type="noConversion"/>
  </si>
  <si>
    <t xml:space="preserve">VALVE NO., AIR LINE, FW LINE 등 기재 할 것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</si>
</sst>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_);[Red]\(0.00\)"/>
  </numFmts>
  <fonts count="4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  <scheme val="major"/>
    </font>
    <font>
      <sz val="12"/>
      <color indexed="8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ajor"/>
    </font>
    <font>
      <sz val="30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ajor"/>
    </font>
    <font>
      <u/>
      <sz val="12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trike/>
      <sz val="11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trike/>
      <sz val="11"/>
      <name val="맑은 고딕"/>
      <family val="3"/>
      <charset val="129"/>
      <scheme val="minor"/>
    </font>
    <font>
      <strike/>
      <sz val="11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strike/>
      <sz val="12"/>
      <color theme="1"/>
      <name val="맑은 고딕"/>
      <family val="3"/>
      <charset val="129"/>
      <scheme val="minor"/>
    </font>
    <font>
      <strike/>
      <sz val="12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i/>
      <sz val="9"/>
      <color theme="1"/>
      <name val="맑은 고딕"/>
      <family val="3"/>
      <charset val="129"/>
      <scheme val="major"/>
    </font>
    <font>
      <b/>
      <sz val="11"/>
      <color rgb="FF0070C0"/>
      <name val="맑은 고딕"/>
      <family val="3"/>
      <charset val="129"/>
      <scheme val="minor"/>
    </font>
    <font>
      <b/>
      <sz val="11"/>
      <color theme="4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thin">
        <color auto="1"/>
      </bottom>
      <diagonal/>
    </border>
    <border>
      <left/>
      <right style="medium">
        <color rgb="FFFF0000"/>
      </right>
      <top style="medium">
        <color rgb="FFFF0000"/>
      </top>
      <bottom style="thin">
        <color auto="1"/>
      </bottom>
      <diagonal/>
    </border>
    <border>
      <left style="medium">
        <color rgb="FFFF0000"/>
      </left>
      <right/>
      <top style="thin">
        <color auto="1"/>
      </top>
      <bottom style="thin">
        <color auto="1"/>
      </bottom>
      <diagonal/>
    </border>
    <border>
      <left/>
      <right style="medium">
        <color rgb="FFFF0000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thin">
        <color auto="1"/>
      </top>
      <bottom style="medium">
        <color rgb="FFFF0000"/>
      </bottom>
      <diagonal/>
    </border>
    <border>
      <left/>
      <right style="medium">
        <color rgb="FFFF0000"/>
      </right>
      <top style="thin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19" fillId="0" borderId="0">
      <alignment vertical="center"/>
    </xf>
  </cellStyleXfs>
  <cellXfs count="260">
    <xf numFmtId="0" fontId="0" fillId="0" borderId="0" xfId="0">
      <alignment vertical="center"/>
    </xf>
    <xf numFmtId="0" fontId="2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4" fillId="3" borderId="1" xfId="0" quotePrefix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vertical="center" wrapText="1"/>
    </xf>
    <xf numFmtId="0" fontId="7" fillId="0" borderId="1" xfId="0" applyFont="1" applyBorder="1" applyAlignment="1">
      <alignment horizontal="left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6" fillId="2" borderId="1" xfId="0" applyFont="1" applyFill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quotePrefix="1" applyFont="1" applyFill="1" applyBorder="1" applyAlignment="1">
      <alignment vertical="center" wrapText="1"/>
    </xf>
    <xf numFmtId="0" fontId="13" fillId="2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0" fillId="2" borderId="0" xfId="0" applyFill="1">
      <alignment vertical="center"/>
    </xf>
    <xf numFmtId="0" fontId="15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0" fillId="2" borderId="7" xfId="0" applyFont="1" applyFill="1" applyBorder="1" applyAlignment="1">
      <alignment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vertical="center" wrapText="1"/>
    </xf>
    <xf numFmtId="0" fontId="11" fillId="2" borderId="1" xfId="0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left" vertical="center"/>
    </xf>
    <xf numFmtId="0" fontId="20" fillId="2" borderId="7" xfId="0" applyFont="1" applyFill="1" applyBorder="1" applyAlignment="1">
      <alignment horizontal="left" vertical="top" wrapText="1"/>
    </xf>
    <xf numFmtId="0" fontId="24" fillId="2" borderId="0" xfId="0" applyFont="1" applyFill="1">
      <alignment vertical="center"/>
    </xf>
    <xf numFmtId="0" fontId="16" fillId="0" borderId="0" xfId="0" applyFont="1">
      <alignment vertical="center"/>
    </xf>
    <xf numFmtId="0" fontId="16" fillId="5" borderId="0" xfId="0" applyFont="1" applyFill="1">
      <alignment vertical="center"/>
    </xf>
    <xf numFmtId="0" fontId="16" fillId="0" borderId="0" xfId="0" applyFont="1" applyAlignment="1">
      <alignment vertical="center" wrapText="1"/>
    </xf>
    <xf numFmtId="177" fontId="16" fillId="0" borderId="0" xfId="0" applyNumberFormat="1" applyFont="1">
      <alignment vertical="center"/>
    </xf>
    <xf numFmtId="0" fontId="16" fillId="0" borderId="0" xfId="0" applyFont="1" applyAlignment="1">
      <alignment horizontal="center" vertical="center"/>
    </xf>
    <xf numFmtId="0" fontId="26" fillId="2" borderId="0" xfId="0" applyFont="1" applyFill="1">
      <alignment vertical="center"/>
    </xf>
    <xf numFmtId="0" fontId="28" fillId="2" borderId="31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center" vertical="center"/>
    </xf>
    <xf numFmtId="177" fontId="29" fillId="0" borderId="1" xfId="0" applyNumberFormat="1" applyFont="1" applyBorder="1" applyAlignment="1">
      <alignment horizontal="center" vertical="center"/>
    </xf>
    <xf numFmtId="177" fontId="29" fillId="2" borderId="1" xfId="0" applyNumberFormat="1" applyFont="1" applyFill="1" applyBorder="1" applyAlignment="1">
      <alignment horizontal="center" vertical="center"/>
    </xf>
    <xf numFmtId="0" fontId="28" fillId="7" borderId="31" xfId="0" applyFont="1" applyFill="1" applyBorder="1" applyAlignment="1">
      <alignment horizontal="center" vertical="center"/>
    </xf>
    <xf numFmtId="0" fontId="27" fillId="3" borderId="30" xfId="0" applyFont="1" applyFill="1" applyBorder="1" applyAlignment="1">
      <alignment horizontal="center" vertical="center"/>
    </xf>
    <xf numFmtId="177" fontId="29" fillId="7" borderId="1" xfId="0" applyNumberFormat="1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177" fontId="15" fillId="2" borderId="1" xfId="0" applyNumberFormat="1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30" fillId="2" borderId="4" xfId="0" applyFont="1" applyFill="1" applyBorder="1" applyAlignment="1">
      <alignment horizontal="left" vertical="center" wrapText="1"/>
    </xf>
    <xf numFmtId="0" fontId="30" fillId="2" borderId="1" xfId="0" applyFont="1" applyFill="1" applyBorder="1" applyAlignment="1">
      <alignment horizontal="left" vertical="center" wrapText="1"/>
    </xf>
    <xf numFmtId="0" fontId="31" fillId="2" borderId="1" xfId="0" applyFont="1" applyFill="1" applyBorder="1" applyAlignment="1">
      <alignment horizontal="left" vertical="center" wrapText="1"/>
    </xf>
    <xf numFmtId="0" fontId="19" fillId="2" borderId="0" xfId="0" applyFont="1" applyFill="1">
      <alignment vertical="center"/>
    </xf>
    <xf numFmtId="0" fontId="19" fillId="2" borderId="0" xfId="0" applyFont="1" applyFill="1" applyAlignment="1">
      <alignment horizontal="left" vertical="center"/>
    </xf>
    <xf numFmtId="0" fontId="35" fillId="2" borderId="1" xfId="0" quotePrefix="1" applyFont="1" applyFill="1" applyBorder="1" applyAlignment="1">
      <alignment vertical="center" wrapText="1"/>
    </xf>
    <xf numFmtId="0" fontId="36" fillId="2" borderId="1" xfId="0" applyFont="1" applyFill="1" applyBorder="1" applyAlignment="1">
      <alignment vertical="center" wrapText="1"/>
    </xf>
    <xf numFmtId="0" fontId="37" fillId="0" borderId="0" xfId="0" applyFont="1">
      <alignment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37" fillId="0" borderId="0" xfId="0" applyFont="1" applyAlignment="1">
      <alignment vertical="center" wrapText="1"/>
    </xf>
    <xf numFmtId="0" fontId="37" fillId="4" borderId="13" xfId="0" applyFont="1" applyFill="1" applyBorder="1" applyAlignment="1">
      <alignment horizontal="center" vertical="center"/>
    </xf>
    <xf numFmtId="0" fontId="38" fillId="4" borderId="16" xfId="0" applyFont="1" applyFill="1" applyBorder="1" applyAlignment="1">
      <alignment horizontal="center" vertical="center"/>
    </xf>
    <xf numFmtId="0" fontId="37" fillId="4" borderId="14" xfId="0" applyFont="1" applyFill="1" applyBorder="1">
      <alignment vertical="center"/>
    </xf>
    <xf numFmtId="0" fontId="39" fillId="2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right" vertical="center"/>
    </xf>
    <xf numFmtId="0" fontId="37" fillId="6" borderId="1" xfId="0" applyFont="1" applyFill="1" applyBorder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39" fillId="2" borderId="0" xfId="0" applyFont="1" applyFill="1">
      <alignment vertical="center"/>
    </xf>
    <xf numFmtId="0" fontId="37" fillId="6" borderId="4" xfId="0" applyFont="1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/>
    </xf>
    <xf numFmtId="0" fontId="40" fillId="6" borderId="12" xfId="0" applyFont="1" applyFill="1" applyBorder="1" applyAlignment="1">
      <alignment horizontal="center" vertical="center"/>
    </xf>
    <xf numFmtId="0" fontId="40" fillId="6" borderId="11" xfId="0" applyFont="1" applyFill="1" applyBorder="1" applyAlignment="1">
      <alignment horizontal="center" vertical="center"/>
    </xf>
    <xf numFmtId="0" fontId="37" fillId="4" borderId="13" xfId="0" applyFont="1" applyFill="1" applyBorder="1">
      <alignment vertical="center"/>
    </xf>
    <xf numFmtId="176" fontId="38" fillId="4" borderId="16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40" fillId="2" borderId="13" xfId="0" applyFont="1" applyFill="1" applyBorder="1" applyAlignment="1">
      <alignment horizontal="center" vertical="center"/>
    </xf>
    <xf numFmtId="177" fontId="40" fillId="4" borderId="17" xfId="0" applyNumberFormat="1" applyFont="1" applyFill="1" applyBorder="1" applyAlignment="1">
      <alignment horizontal="right" vertical="center"/>
    </xf>
    <xf numFmtId="0" fontId="40" fillId="4" borderId="18" xfId="0" applyFont="1" applyFill="1" applyBorder="1">
      <alignment vertical="center"/>
    </xf>
    <xf numFmtId="0" fontId="40" fillId="2" borderId="14" xfId="0" applyFont="1" applyFill="1" applyBorder="1" applyAlignment="1">
      <alignment horizontal="center" vertical="center"/>
    </xf>
    <xf numFmtId="177" fontId="40" fillId="5" borderId="17" xfId="0" applyNumberFormat="1" applyFont="1" applyFill="1" applyBorder="1" applyAlignment="1">
      <alignment horizontal="right" vertical="center"/>
    </xf>
    <xf numFmtId="0" fontId="40" fillId="5" borderId="18" xfId="0" applyFont="1" applyFill="1" applyBorder="1">
      <alignment vertical="center"/>
    </xf>
    <xf numFmtId="0" fontId="37" fillId="0" borderId="0" xfId="0" applyFont="1" applyAlignment="1">
      <alignment horizontal="left" vertical="center"/>
    </xf>
    <xf numFmtId="177" fontId="40" fillId="4" borderId="19" xfId="0" applyNumberFormat="1" applyFont="1" applyFill="1" applyBorder="1" applyAlignment="1">
      <alignment horizontal="right" vertical="center"/>
    </xf>
    <xf numFmtId="0" fontId="40" fillId="4" borderId="20" xfId="0" applyFont="1" applyFill="1" applyBorder="1">
      <alignment vertical="center"/>
    </xf>
    <xf numFmtId="177" fontId="40" fillId="5" borderId="19" xfId="0" applyNumberFormat="1" applyFont="1" applyFill="1" applyBorder="1" applyAlignment="1">
      <alignment horizontal="right" vertical="center"/>
    </xf>
    <xf numFmtId="0" fontId="40" fillId="5" borderId="20" xfId="0" applyFont="1" applyFill="1" applyBorder="1">
      <alignment vertical="center"/>
    </xf>
    <xf numFmtId="0" fontId="37" fillId="0" borderId="5" xfId="0" applyFont="1" applyBorder="1">
      <alignment vertical="center"/>
    </xf>
    <xf numFmtId="0" fontId="37" fillId="0" borderId="12" xfId="0" applyFont="1" applyBorder="1">
      <alignment vertical="center"/>
    </xf>
    <xf numFmtId="0" fontId="37" fillId="5" borderId="1" xfId="0" applyFont="1" applyFill="1" applyBorder="1">
      <alignment vertical="center"/>
    </xf>
    <xf numFmtId="0" fontId="37" fillId="5" borderId="1" xfId="0" applyFont="1" applyFill="1" applyBorder="1" applyAlignment="1">
      <alignment horizontal="center" vertical="center"/>
    </xf>
    <xf numFmtId="176" fontId="37" fillId="5" borderId="1" xfId="0" applyNumberFormat="1" applyFont="1" applyFill="1" applyBorder="1" applyAlignment="1">
      <alignment horizontal="right" vertical="center"/>
    </xf>
    <xf numFmtId="0" fontId="37" fillId="2" borderId="1" xfId="0" applyFont="1" applyFill="1" applyBorder="1" applyAlignment="1">
      <alignment horizontal="right" vertical="center" wrapText="1"/>
    </xf>
    <xf numFmtId="0" fontId="37" fillId="2" borderId="1" xfId="0" applyFont="1" applyFill="1" applyBorder="1" applyAlignment="1">
      <alignment horizontal="center" vertical="center"/>
    </xf>
    <xf numFmtId="0" fontId="37" fillId="2" borderId="1" xfId="0" applyFont="1" applyFill="1" applyBorder="1">
      <alignment vertical="center"/>
    </xf>
    <xf numFmtId="176" fontId="37" fillId="2" borderId="1" xfId="0" applyNumberFormat="1" applyFont="1" applyFill="1" applyBorder="1" applyAlignment="1">
      <alignment horizontal="right" vertical="center"/>
    </xf>
    <xf numFmtId="0" fontId="40" fillId="2" borderId="1" xfId="0" applyFont="1" applyFill="1" applyBorder="1">
      <alignment vertical="center"/>
    </xf>
    <xf numFmtId="0" fontId="40" fillId="2" borderId="15" xfId="0" applyFont="1" applyFill="1" applyBorder="1" applyAlignment="1">
      <alignment horizontal="center" vertical="center"/>
    </xf>
    <xf numFmtId="176" fontId="38" fillId="2" borderId="1" xfId="0" applyNumberFormat="1" applyFont="1" applyFill="1" applyBorder="1" applyAlignment="1">
      <alignment horizontal="right" vertical="center"/>
    </xf>
    <xf numFmtId="177" fontId="40" fillId="4" borderId="21" xfId="0" applyNumberFormat="1" applyFont="1" applyFill="1" applyBorder="1" applyAlignment="1">
      <alignment horizontal="right" vertical="center"/>
    </xf>
    <xf numFmtId="0" fontId="40" fillId="4" borderId="22" xfId="0" applyFont="1" applyFill="1" applyBorder="1">
      <alignment vertical="center"/>
    </xf>
    <xf numFmtId="177" fontId="40" fillId="5" borderId="21" xfId="0" applyNumberFormat="1" applyFont="1" applyFill="1" applyBorder="1" applyAlignment="1">
      <alignment horizontal="right" vertical="center"/>
    </xf>
    <xf numFmtId="0" fontId="40" fillId="5" borderId="22" xfId="0" applyFont="1" applyFill="1" applyBorder="1">
      <alignment vertical="center"/>
    </xf>
    <xf numFmtId="0" fontId="23" fillId="2" borderId="0" xfId="0" applyFont="1" applyFill="1" applyAlignment="1">
      <alignment vertical="center" wrapText="1"/>
    </xf>
    <xf numFmtId="0" fontId="30" fillId="2" borderId="1" xfId="0" applyFont="1" applyFill="1" applyBorder="1" applyAlignment="1">
      <alignment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left" vertical="center" wrapText="1"/>
    </xf>
    <xf numFmtId="0" fontId="19" fillId="2" borderId="1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 wrapText="1"/>
    </xf>
    <xf numFmtId="0" fontId="15" fillId="6" borderId="15" xfId="0" applyFont="1" applyFill="1" applyBorder="1" applyAlignment="1">
      <alignment horizontal="center" vertical="center"/>
    </xf>
    <xf numFmtId="0" fontId="32" fillId="6" borderId="14" xfId="0" applyFont="1" applyFill="1" applyBorder="1" applyAlignment="1">
      <alignment horizontal="center" vertical="center"/>
    </xf>
    <xf numFmtId="0" fontId="32" fillId="6" borderId="13" xfId="0" applyFont="1" applyFill="1" applyBorder="1" applyAlignment="1">
      <alignment horizontal="center" vertical="center" wrapText="1"/>
    </xf>
    <xf numFmtId="0" fontId="32" fillId="6" borderId="15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32" fillId="6" borderId="1" xfId="0" applyFont="1" applyFill="1" applyBorder="1" applyAlignment="1">
      <alignment horizontal="center" vertical="center" wrapText="1"/>
    </xf>
    <xf numFmtId="0" fontId="24" fillId="2" borderId="13" xfId="0" applyFont="1" applyFill="1" applyBorder="1" applyAlignment="1">
      <alignment horizontal="center" vertical="center" wrapText="1"/>
    </xf>
    <xf numFmtId="0" fontId="19" fillId="2" borderId="41" xfId="0" applyFont="1" applyFill="1" applyBorder="1" applyAlignment="1">
      <alignment horizontal="center" vertical="center"/>
    </xf>
    <xf numFmtId="177" fontId="15" fillId="2" borderId="42" xfId="0" applyNumberFormat="1" applyFont="1" applyFill="1" applyBorder="1" applyAlignment="1">
      <alignment horizontal="center" vertical="center"/>
    </xf>
    <xf numFmtId="0" fontId="19" fillId="2" borderId="43" xfId="0" applyFont="1" applyFill="1" applyBorder="1" applyAlignment="1">
      <alignment horizontal="center" vertical="center"/>
    </xf>
    <xf numFmtId="177" fontId="15" fillId="2" borderId="44" xfId="0" applyNumberFormat="1" applyFont="1" applyFill="1" applyBorder="1" applyAlignment="1">
      <alignment horizontal="center" vertical="center"/>
    </xf>
    <xf numFmtId="177" fontId="15" fillId="2" borderId="11" xfId="0" applyNumberFormat="1" applyFont="1" applyFill="1" applyBorder="1" applyAlignment="1">
      <alignment horizontal="center" vertical="center"/>
    </xf>
    <xf numFmtId="177" fontId="15" fillId="2" borderId="13" xfId="0" applyNumberFormat="1" applyFont="1" applyFill="1" applyBorder="1" applyAlignment="1">
      <alignment horizontal="center" vertical="center"/>
    </xf>
    <xf numFmtId="177" fontId="15" fillId="2" borderId="41" xfId="0" applyNumberFormat="1" applyFont="1" applyFill="1" applyBorder="1" applyAlignment="1">
      <alignment horizontal="center" vertical="center"/>
    </xf>
    <xf numFmtId="177" fontId="15" fillId="2" borderId="40" xfId="0" applyNumberFormat="1" applyFont="1" applyFill="1" applyBorder="1" applyAlignment="1">
      <alignment horizontal="center" vertical="center"/>
    </xf>
    <xf numFmtId="177" fontId="15" fillId="2" borderId="43" xfId="0" applyNumberFormat="1" applyFont="1" applyFill="1" applyBorder="1" applyAlignment="1">
      <alignment horizontal="center" vertical="center"/>
    </xf>
    <xf numFmtId="177" fontId="15" fillId="2" borderId="45" xfId="0" applyNumberFormat="1" applyFont="1" applyFill="1" applyBorder="1" applyAlignment="1">
      <alignment horizontal="center" vertical="center"/>
    </xf>
    <xf numFmtId="0" fontId="15" fillId="6" borderId="46" xfId="0" applyFont="1" applyFill="1" applyBorder="1" applyAlignment="1">
      <alignment horizontal="center" vertical="center" wrapText="1"/>
    </xf>
    <xf numFmtId="0" fontId="15" fillId="6" borderId="47" xfId="0" applyFont="1" applyFill="1" applyBorder="1" applyAlignment="1">
      <alignment horizontal="center" vertical="center"/>
    </xf>
    <xf numFmtId="0" fontId="15" fillId="6" borderId="38" xfId="0" applyFont="1" applyFill="1" applyBorder="1" applyAlignment="1">
      <alignment horizontal="center" vertical="center" wrapText="1"/>
    </xf>
    <xf numFmtId="0" fontId="15" fillId="6" borderId="48" xfId="0" applyFont="1" applyFill="1" applyBorder="1" applyAlignment="1">
      <alignment horizontal="center" vertical="center"/>
    </xf>
    <xf numFmtId="0" fontId="32" fillId="6" borderId="11" xfId="0" applyFont="1" applyFill="1" applyBorder="1" applyAlignment="1">
      <alignment horizontal="center" vertical="center" wrapText="1"/>
    </xf>
    <xf numFmtId="0" fontId="32" fillId="6" borderId="12" xfId="0" applyFont="1" applyFill="1" applyBorder="1" applyAlignment="1">
      <alignment horizontal="center" vertical="center"/>
    </xf>
    <xf numFmtId="0" fontId="32" fillId="6" borderId="4" xfId="0" applyFont="1" applyFill="1" applyBorder="1" applyAlignment="1">
      <alignment horizontal="center" vertical="center" wrapText="1"/>
    </xf>
    <xf numFmtId="0" fontId="32" fillId="6" borderId="5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6" borderId="38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9" fillId="2" borderId="0" xfId="0" applyFont="1" applyFill="1" applyAlignment="1">
      <alignment vertical="center" wrapText="1"/>
    </xf>
    <xf numFmtId="0" fontId="23" fillId="9" borderId="1" xfId="0" applyFont="1" applyFill="1" applyBorder="1" applyAlignment="1">
      <alignment horizontal="center" vertical="center" wrapText="1"/>
    </xf>
    <xf numFmtId="0" fontId="23" fillId="9" borderId="43" xfId="0" applyFont="1" applyFill="1" applyBorder="1" applyAlignment="1">
      <alignment horizontal="center" vertical="center"/>
    </xf>
    <xf numFmtId="0" fontId="23" fillId="9" borderId="41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 wrapText="1"/>
    </xf>
    <xf numFmtId="0" fontId="42" fillId="9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0" fontId="26" fillId="2" borderId="1" xfId="0" applyFont="1" applyFill="1" applyBorder="1">
      <alignment vertical="center"/>
    </xf>
    <xf numFmtId="0" fontId="23" fillId="9" borderId="1" xfId="0" applyFont="1" applyFill="1" applyBorder="1" applyAlignment="1">
      <alignment horizontal="center" vertical="center"/>
    </xf>
    <xf numFmtId="0" fontId="43" fillId="9" borderId="1" xfId="0" applyFont="1" applyFill="1" applyBorder="1" applyAlignment="1">
      <alignment horizontal="center" vertical="center" wrapText="1"/>
    </xf>
    <xf numFmtId="177" fontId="15" fillId="12" borderId="44" xfId="0" applyNumberFormat="1" applyFont="1" applyFill="1" applyBorder="1" applyAlignment="1">
      <alignment horizontal="center" vertical="center"/>
    </xf>
    <xf numFmtId="177" fontId="15" fillId="12" borderId="45" xfId="0" applyNumberFormat="1" applyFont="1" applyFill="1" applyBorder="1" applyAlignment="1">
      <alignment horizontal="center" vertical="center"/>
    </xf>
    <xf numFmtId="0" fontId="15" fillId="2" borderId="38" xfId="0" applyFont="1" applyFill="1" applyBorder="1" applyAlignment="1">
      <alignment horizontal="center" vertical="center" wrapText="1"/>
    </xf>
    <xf numFmtId="0" fontId="15" fillId="6" borderId="35" xfId="0" applyFont="1" applyFill="1" applyBorder="1" applyAlignment="1">
      <alignment horizontal="center" vertical="center" wrapText="1"/>
    </xf>
    <xf numFmtId="0" fontId="15" fillId="6" borderId="36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 wrapText="1"/>
    </xf>
    <xf numFmtId="0" fontId="30" fillId="13" borderId="1" xfId="0" applyFont="1" applyFill="1" applyBorder="1" applyAlignment="1">
      <alignment horizontal="center" vertical="center" wrapText="1"/>
    </xf>
    <xf numFmtId="177" fontId="15" fillId="2" borderId="4" xfId="0" applyNumberFormat="1" applyFont="1" applyFill="1" applyBorder="1" applyAlignment="1">
      <alignment horizontal="center" vertical="center"/>
    </xf>
    <xf numFmtId="0" fontId="26" fillId="2" borderId="4" xfId="0" applyFont="1" applyFill="1" applyBorder="1">
      <alignment vertical="center"/>
    </xf>
    <xf numFmtId="177" fontId="15" fillId="2" borderId="38" xfId="0" applyNumberFormat="1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177" fontId="15" fillId="2" borderId="49" xfId="0" applyNumberFormat="1" applyFont="1" applyFill="1" applyBorder="1" applyAlignment="1">
      <alignment horizontal="center" vertical="center"/>
    </xf>
    <xf numFmtId="0" fontId="15" fillId="2" borderId="37" xfId="0" applyFont="1" applyFill="1" applyBorder="1" applyAlignment="1">
      <alignment horizontal="center" vertical="center" wrapText="1"/>
    </xf>
    <xf numFmtId="0" fontId="23" fillId="5" borderId="1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 wrapText="1"/>
    </xf>
    <xf numFmtId="0" fontId="15" fillId="14" borderId="46" xfId="0" applyFont="1" applyFill="1" applyBorder="1" applyAlignment="1">
      <alignment horizontal="center" vertical="center" wrapText="1"/>
    </xf>
    <xf numFmtId="0" fontId="32" fillId="14" borderId="11" xfId="0" applyFont="1" applyFill="1" applyBorder="1" applyAlignment="1">
      <alignment horizontal="center" vertical="center" wrapText="1"/>
    </xf>
    <xf numFmtId="0" fontId="15" fillId="14" borderId="48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right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41" fillId="0" borderId="7" xfId="0" applyFont="1" applyBorder="1" applyAlignment="1">
      <alignment horizontal="left" vertical="center" wrapText="1"/>
    </xf>
    <xf numFmtId="0" fontId="41" fillId="0" borderId="7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9" fillId="2" borderId="0" xfId="0" applyFont="1" applyFill="1" applyAlignment="1">
      <alignment horizontal="right" vertical="center"/>
    </xf>
    <xf numFmtId="0" fontId="37" fillId="6" borderId="13" xfId="0" applyFont="1" applyFill="1" applyBorder="1" applyAlignment="1">
      <alignment horizontal="center" vertical="center"/>
    </xf>
    <xf numFmtId="0" fontId="37" fillId="6" borderId="14" xfId="0" applyFont="1" applyFill="1" applyBorder="1" applyAlignment="1">
      <alignment horizontal="center" vertical="center"/>
    </xf>
    <xf numFmtId="0" fontId="37" fillId="6" borderId="1" xfId="0" applyFont="1" applyFill="1" applyBorder="1" applyAlignment="1">
      <alignment horizontal="center" vertical="center"/>
    </xf>
    <xf numFmtId="0" fontId="37" fillId="6" borderId="23" xfId="0" applyFont="1" applyFill="1" applyBorder="1" applyAlignment="1">
      <alignment horizontal="center" vertical="center"/>
    </xf>
    <xf numFmtId="0" fontId="37" fillId="6" borderId="24" xfId="0" applyFont="1" applyFill="1" applyBorder="1" applyAlignment="1">
      <alignment horizontal="center" vertical="center"/>
    </xf>
    <xf numFmtId="0" fontId="37" fillId="6" borderId="25" xfId="0" applyFont="1" applyFill="1" applyBorder="1" applyAlignment="1">
      <alignment horizontal="center" vertical="center" wrapText="1"/>
    </xf>
    <xf numFmtId="0" fontId="37" fillId="6" borderId="26" xfId="0" applyFont="1" applyFill="1" applyBorder="1" applyAlignment="1">
      <alignment horizontal="center" vertical="center"/>
    </xf>
    <xf numFmtId="0" fontId="37" fillId="6" borderId="27" xfId="0" applyFont="1" applyFill="1" applyBorder="1" applyAlignment="1">
      <alignment horizontal="center" vertical="center"/>
    </xf>
    <xf numFmtId="0" fontId="37" fillId="6" borderId="28" xfId="0" applyFont="1" applyFill="1" applyBorder="1" applyAlignment="1">
      <alignment horizontal="center" vertical="center"/>
    </xf>
    <xf numFmtId="0" fontId="40" fillId="6" borderId="23" xfId="0" applyFont="1" applyFill="1" applyBorder="1" applyAlignment="1">
      <alignment horizontal="center" vertical="center"/>
    </xf>
    <xf numFmtId="0" fontId="40" fillId="6" borderId="24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left" vertical="center"/>
    </xf>
    <xf numFmtId="14" fontId="33" fillId="2" borderId="0" xfId="0" applyNumberFormat="1" applyFont="1" applyFill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23" fillId="9" borderId="39" xfId="0" applyFont="1" applyFill="1" applyBorder="1" applyAlignment="1">
      <alignment horizontal="left" vertical="center" wrapText="1"/>
    </xf>
    <xf numFmtId="0" fontId="30" fillId="9" borderId="13" xfId="0" applyFont="1" applyFill="1" applyBorder="1" applyAlignment="1">
      <alignment horizontal="center" vertical="center" wrapText="1"/>
    </xf>
    <xf numFmtId="0" fontId="30" fillId="9" borderId="14" xfId="0" applyFont="1" applyFill="1" applyBorder="1" applyAlignment="1">
      <alignment horizontal="center" vertical="center" wrapText="1"/>
    </xf>
    <xf numFmtId="0" fontId="19" fillId="2" borderId="13" xfId="0" applyFont="1" applyFill="1" applyBorder="1" applyAlignment="1">
      <alignment horizontal="center" vertical="center" wrapText="1"/>
    </xf>
    <xf numFmtId="0" fontId="19" fillId="2" borderId="15" xfId="0" applyFont="1" applyFill="1" applyBorder="1" applyAlignment="1">
      <alignment horizontal="center" vertical="center" wrapText="1"/>
    </xf>
    <xf numFmtId="0" fontId="19" fillId="2" borderId="14" xfId="0" applyFont="1" applyFill="1" applyBorder="1" applyAlignment="1">
      <alignment horizontal="center" vertical="center" wrapText="1"/>
    </xf>
    <xf numFmtId="0" fontId="42" fillId="9" borderId="1" xfId="0" applyFont="1" applyFill="1" applyBorder="1" applyAlignment="1">
      <alignment horizontal="center" vertical="center" wrapText="1"/>
    </xf>
    <xf numFmtId="0" fontId="25" fillId="10" borderId="2" xfId="0" applyFont="1" applyFill="1" applyBorder="1" applyAlignment="1">
      <alignment horizontal="center" vertical="center" textRotation="90"/>
    </xf>
    <xf numFmtId="0" fontId="25" fillId="10" borderId="3" xfId="0" applyFont="1" applyFill="1" applyBorder="1" applyAlignment="1">
      <alignment horizontal="center" vertical="center" textRotation="90"/>
    </xf>
    <xf numFmtId="0" fontId="25" fillId="10" borderId="9" xfId="0" applyFont="1" applyFill="1" applyBorder="1" applyAlignment="1">
      <alignment horizontal="center" vertical="center" textRotation="90"/>
    </xf>
    <xf numFmtId="0" fontId="25" fillId="10" borderId="11" xfId="0" applyFont="1" applyFill="1" applyBorder="1" applyAlignment="1">
      <alignment horizontal="center" vertical="center" textRotation="90"/>
    </xf>
    <xf numFmtId="0" fontId="23" fillId="9" borderId="6" xfId="0" applyFont="1" applyFill="1" applyBorder="1" applyAlignment="1">
      <alignment horizontal="center" vertical="center"/>
    </xf>
    <xf numFmtId="0" fontId="23" fillId="9" borderId="8" xfId="0" applyFont="1" applyFill="1" applyBorder="1" applyAlignment="1">
      <alignment horizontal="center" vertical="center"/>
    </xf>
    <xf numFmtId="0" fontId="23" fillId="9" borderId="11" xfId="0" applyFont="1" applyFill="1" applyBorder="1" applyAlignment="1">
      <alignment horizontal="center" vertical="center"/>
    </xf>
    <xf numFmtId="0" fontId="23" fillId="9" borderId="12" xfId="0" applyFont="1" applyFill="1" applyBorder="1" applyAlignment="1">
      <alignment horizontal="center" vertical="center"/>
    </xf>
    <xf numFmtId="0" fontId="25" fillId="11" borderId="6" xfId="0" applyFont="1" applyFill="1" applyBorder="1" applyAlignment="1">
      <alignment horizontal="center" vertical="center" textRotation="90"/>
    </xf>
    <xf numFmtId="0" fontId="25" fillId="11" borderId="9" xfId="0" applyFont="1" applyFill="1" applyBorder="1" applyAlignment="1">
      <alignment horizontal="center" vertical="center" textRotation="90"/>
    </xf>
    <xf numFmtId="0" fontId="25" fillId="11" borderId="11" xfId="0" applyFont="1" applyFill="1" applyBorder="1" applyAlignment="1">
      <alignment horizontal="center" vertical="center" textRotation="90"/>
    </xf>
    <xf numFmtId="0" fontId="0" fillId="2" borderId="0" xfId="0" applyFill="1" applyAlignment="1">
      <alignment horizontal="left" vertical="top" wrapText="1"/>
    </xf>
    <xf numFmtId="0" fontId="23" fillId="13" borderId="13" xfId="0" applyFont="1" applyFill="1" applyBorder="1" applyAlignment="1">
      <alignment horizontal="center" vertical="center" wrapText="1"/>
    </xf>
    <xf numFmtId="0" fontId="23" fillId="13" borderId="15" xfId="0" applyFont="1" applyFill="1" applyBorder="1" applyAlignment="1">
      <alignment horizontal="center" vertical="center" wrapText="1"/>
    </xf>
    <xf numFmtId="0" fontId="23" fillId="13" borderId="14" xfId="0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left" vertical="top" wrapText="1"/>
    </xf>
    <xf numFmtId="0" fontId="24" fillId="9" borderId="13" xfId="0" applyFont="1" applyFill="1" applyBorder="1" applyAlignment="1">
      <alignment horizontal="center" vertical="center" wrapText="1"/>
    </xf>
    <xf numFmtId="0" fontId="24" fillId="9" borderId="14" xfId="0" applyFont="1" applyFill="1" applyBorder="1" applyAlignment="1">
      <alignment horizontal="center" vertical="center" wrapText="1"/>
    </xf>
    <xf numFmtId="0" fontId="43" fillId="9" borderId="1" xfId="0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center" vertical="center" wrapText="1"/>
    </xf>
    <xf numFmtId="0" fontId="20" fillId="2" borderId="7" xfId="0" applyFont="1" applyFill="1" applyBorder="1" applyAlignment="1">
      <alignment horizontal="center" vertical="center" wrapText="1"/>
    </xf>
    <xf numFmtId="0" fontId="23" fillId="5" borderId="13" xfId="0" applyFont="1" applyFill="1" applyBorder="1" applyAlignment="1">
      <alignment horizontal="center" vertical="center" wrapText="1"/>
    </xf>
    <xf numFmtId="0" fontId="23" fillId="5" borderId="15" xfId="0" applyFont="1" applyFill="1" applyBorder="1" applyAlignment="1">
      <alignment horizontal="center" vertical="center" wrapText="1"/>
    </xf>
    <xf numFmtId="0" fontId="23" fillId="5" borderId="14" xfId="0" applyFont="1" applyFill="1" applyBorder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 wrapText="1"/>
    </xf>
    <xf numFmtId="0" fontId="27" fillId="9" borderId="30" xfId="0" applyFont="1" applyFill="1" applyBorder="1" applyAlignment="1">
      <alignment horizontal="center" vertical="center" wrapText="1"/>
    </xf>
    <xf numFmtId="0" fontId="27" fillId="9" borderId="31" xfId="0" applyFont="1" applyFill="1" applyBorder="1" applyAlignment="1">
      <alignment horizontal="center" vertical="center" wrapText="1"/>
    </xf>
    <xf numFmtId="0" fontId="27" fillId="9" borderId="32" xfId="0" applyFont="1" applyFill="1" applyBorder="1" applyAlignment="1">
      <alignment horizontal="center" vertical="center" wrapText="1"/>
    </xf>
    <xf numFmtId="0" fontId="27" fillId="3" borderId="33" xfId="0" applyFont="1" applyFill="1" applyBorder="1" applyAlignment="1">
      <alignment horizontal="center" vertical="center"/>
    </xf>
    <xf numFmtId="0" fontId="27" fillId="3" borderId="34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29" xfId="0" applyFont="1" applyBorder="1" applyAlignment="1">
      <alignment horizontal="left" vertical="center"/>
    </xf>
    <xf numFmtId="0" fontId="8" fillId="8" borderId="1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151E4173-6B9A-4399-9309-869E44D50211}"/>
  </cellStyles>
  <dxfs count="2"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8DB4E2"/>
      <color rgb="FFB2B2B2"/>
      <color rgb="FF61FFD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이은지" id="{57C1E80E-2A74-4AC3-8D66-CD44064F9DA7}" userId="S::ejlee@techross.onmicrosoft.com::34accc1c-cf8e-4bad-a55c-857fa0239498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45" dT="2024-06-24T06:48:52.29" personId="{57C1E80E-2A74-4AC3-8D66-CD44064F9DA7}" id="{174C06C1-B6B0-424B-9F7E-FDB00348C8F6}">
    <text>1) Weather deck 통해 연결된다면 ANU- [SOL. VALVE] - CHECK VALVE - [SPOOL PIECE] 순으로 작성하였는가 (Standard)
(APPENDIX 4/6.Using a Speel piece_ABS Guide for BWTS)
2) Bulkhead를 관통한다면 ANU - [RFS] - [SOL. VALVE] - CHECK VALVE - [U SEAL] 순으로 작성하였는가 
(APPENDIX 2/Figure 1_ABS Guide for BWTS) &lt;--- Retrofit Case 2 &amp; 3 에서는 해당 구성으로 할 것 (리트로핏팀 요구사항)</text>
  </threadedComment>
  <threadedComment ref="C46" dT="2024-06-27T03:11:25.64" personId="{57C1E80E-2A74-4AC3-8D66-CD44064F9DA7}" id="{BB64912A-AE63-46F0-810C-29D3FC03DE30}">
    <text xml:space="preserve">당사는 LR TAC 미취득, MGDA만 보유하고 있음 (2021년)
- LR TA는 mandatory가 아니며 MGDA 취득으로 LR선박에 설치가 가능함 (installation rule Ch 2.4, 2.5)
- 그러나 CLASS NOTATION에 따라 아래와 같이 구분됩니다. 
- BWTS = MGDA로 커버 가능
- BWTS* = LR TAC 필요 
** 기본설계팀 : 본선 POS 검토시 LR Noration이 "BWTS*" 경우는 DEVIATION LIST에 언급 할 것  </text>
  </threadedComment>
  <threadedComment ref="A50" dT="2024-06-24T07:12:18.57" personId="{57C1E80E-2A74-4AC3-8D66-CD44064F9DA7}" id="{2E71BAF8-2CB5-4D0E-936D-5D55D18A2180}">
    <text>General Cargo
Container
Passenger ship</text>
  </threadedComment>
  <threadedComment ref="A51" dT="2024-06-24T07:12:02.19" personId="{57C1E80E-2A74-4AC3-8D66-CD44064F9DA7}" id="{0E44C5C3-A9D2-4952-BE2E-B14082344436}">
    <text>Oil Tanker  
Chemical Tanker 
VLCC</text>
  </threadedComment>
  <threadedComment ref="A55" dT="2024-06-24T07:12:30.54" personId="{57C1E80E-2A74-4AC3-8D66-CD44064F9DA7}" id="{A108E796-0B24-440B-9583-2C5867163067}">
    <text>Heavy lift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T34" dT="2024-06-28T06:39:55.71" personId="{57C1E80E-2A74-4AC3-8D66-CD44064F9DA7}" id="{693BCDDB-8045-4800-BA30-F5126A8125B2}">
    <text xml:space="preserve">700조합 형식승인 없음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44" dT="2024-06-24T06:48:52.29" personId="{57C1E80E-2A74-4AC3-8D66-CD44064F9DA7}" id="{7EC1CEFF-C1F4-4832-B618-69BC0374F48F}">
    <text>1) Weather deck 통해 연결된다면 ANU- [SOL. VALVE] - CHECK VALVE - [SPOOL PIECE] 순으로 작성하였는가 (Standard)
(APPENDIX 4/6.Using a Speel piece_ABS Guide for BWTS)
2) Bulkhead를 관통한다면 ANU - [RFS] - [SOL. VALVE] - CHECK VALVE - [U SEAL] 순으로 작성하였는가 
(APPENDIX 2/Figure 1_ABS Guide for BWTS) &lt;--- Retrofit Case 2 &amp; 3 에서는 해당 구성으로 할 것 (리트로핏팀 요구사항)</text>
  </threadedComment>
  <threadedComment ref="C45" dT="2024-06-27T03:11:25.64" personId="{57C1E80E-2A74-4AC3-8D66-CD44064F9DA7}" id="{E01D1FBD-1920-4595-BFBE-B916123FCB11}">
    <text xml:space="preserve">당사는 LR TAC 미취득, MGDA만 보유하고 있음 (2021년)
- LR TA는 mandatory가 아니며 MGDA 취득으로 LR선박에 설치가 가능함 (installation rule Ch 2.4, 2.5)
- 그러나 CLASS NOTATION에 따라 아래와 같이 구분됩니다. 
- BWTS = MGDA로 커버 가능
- BWTS* = LR TAC 필요 
** 기본설계팀 : 본선 POS 검토시 LR Noration이 "BWTS*" 경우는 DEVIATION LIST에 언급 할 것  </text>
  </threadedComment>
  <threadedComment ref="A48" dT="2024-06-24T07:12:18.57" personId="{57C1E80E-2A74-4AC3-8D66-CD44064F9DA7}" id="{9EAECA74-09E6-4C82-993C-1FC35CB42CAA}">
    <text>General Cargo
Container
Passenger ship</text>
  </threadedComment>
  <threadedComment ref="A50" dT="2024-06-24T07:12:02.19" personId="{57C1E80E-2A74-4AC3-8D66-CD44064F9DA7}" id="{D994DD4D-7726-4EDF-BE85-42000595D667}">
    <text>Oil Tanker  
Chemical Tanker 
VLCC</text>
  </threadedComment>
  <threadedComment ref="A54" dT="2024-06-24T07:12:30.54" personId="{57C1E80E-2A74-4AC3-8D66-CD44064F9DA7}" id="{7C5ADA8D-9957-4E50-99E0-3A33AF83065B}">
    <text>Heavy lift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216F-53C7-4578-AA09-90B270428611}">
  <sheetPr>
    <pageSetUpPr fitToPage="1"/>
  </sheetPr>
  <dimension ref="A1:M57"/>
  <sheetViews>
    <sheetView tabSelected="1" view="pageBreakPreview" zoomScale="55" zoomScaleNormal="85" zoomScaleSheetLayoutView="55" workbookViewId="0">
      <selection activeCell="D52" sqref="D52"/>
    </sheetView>
  </sheetViews>
  <sheetFormatPr defaultColWidth="9" defaultRowHeight="16.5"/>
  <cols>
    <col min="1" max="1" width="20.75" style="18" customWidth="1"/>
    <col min="2" max="2" width="5.75" style="1" bestFit="1" customWidth="1"/>
    <col min="3" max="3" width="122.375" style="1" bestFit="1" customWidth="1"/>
    <col min="4" max="4" width="26.5" style="1" bestFit="1" customWidth="1"/>
    <col min="5" max="7" width="7.125" style="1" bestFit="1" customWidth="1"/>
    <col min="8" max="8" width="1" style="2" customWidth="1"/>
    <col min="9" max="9" width="134" style="2" customWidth="1"/>
    <col min="10" max="10" width="9" style="2"/>
    <col min="11" max="16384" width="9" style="1"/>
  </cols>
  <sheetData>
    <row r="1" spans="1:10" ht="18.75" customHeight="1">
      <c r="E1" s="183" t="s">
        <v>257</v>
      </c>
      <c r="F1" s="183"/>
      <c r="G1" s="183"/>
    </row>
    <row r="2" spans="1:10" s="6" customFormat="1" ht="25.5" customHeight="1">
      <c r="A2" s="184" t="s">
        <v>292</v>
      </c>
      <c r="B2" s="185"/>
      <c r="C2" s="186"/>
      <c r="D2" s="22" t="s">
        <v>1</v>
      </c>
      <c r="E2" s="3" t="s">
        <v>2</v>
      </c>
      <c r="F2" s="4" t="s">
        <v>3</v>
      </c>
      <c r="G2" s="4" t="s">
        <v>4</v>
      </c>
      <c r="H2" s="5"/>
      <c r="I2" s="5"/>
      <c r="J2" s="5"/>
    </row>
    <row r="3" spans="1:10" s="6" customFormat="1" ht="25.5" customHeight="1">
      <c r="A3" s="187"/>
      <c r="B3" s="188"/>
      <c r="C3" s="189"/>
      <c r="D3" s="22" t="s">
        <v>163</v>
      </c>
      <c r="E3" s="193"/>
      <c r="F3" s="194"/>
      <c r="G3" s="194"/>
      <c r="H3" s="5"/>
      <c r="I3" s="5"/>
      <c r="J3" s="5"/>
    </row>
    <row r="4" spans="1:10" s="6" customFormat="1" ht="25.5" customHeight="1">
      <c r="A4" s="190"/>
      <c r="B4" s="191"/>
      <c r="C4" s="192"/>
      <c r="D4" s="22" t="s">
        <v>164</v>
      </c>
      <c r="E4" s="193"/>
      <c r="F4" s="194"/>
      <c r="G4" s="194"/>
      <c r="H4" s="5"/>
      <c r="I4" s="5"/>
      <c r="J4" s="5"/>
    </row>
    <row r="5" spans="1:10" s="6" customFormat="1" ht="25.5" customHeight="1">
      <c r="A5" s="195" t="s">
        <v>291</v>
      </c>
      <c r="B5" s="195"/>
      <c r="C5" s="195"/>
      <c r="D5" s="7" t="s">
        <v>6</v>
      </c>
      <c r="E5" s="195" t="s">
        <v>7</v>
      </c>
      <c r="F5" s="195"/>
      <c r="G5" s="195"/>
      <c r="H5" s="8"/>
      <c r="I5" s="5"/>
      <c r="J5" s="5"/>
    </row>
    <row r="6" spans="1:10" s="6" customFormat="1" ht="25.5" customHeight="1">
      <c r="A6" s="196" t="s">
        <v>8</v>
      </c>
      <c r="B6" s="10">
        <v>1</v>
      </c>
      <c r="C6" s="9" t="s">
        <v>293</v>
      </c>
      <c r="D6" s="11"/>
      <c r="E6" s="11"/>
      <c r="F6" s="11"/>
      <c r="G6" s="11"/>
      <c r="H6" s="8"/>
      <c r="I6" s="5"/>
    </row>
    <row r="7" spans="1:10" s="6" customFormat="1" ht="25.5" customHeight="1">
      <c r="A7" s="197"/>
      <c r="B7" s="10">
        <v>2</v>
      </c>
      <c r="C7" s="12" t="s">
        <v>294</v>
      </c>
      <c r="D7" s="10"/>
      <c r="E7" s="10"/>
      <c r="F7" s="10"/>
      <c r="G7" s="10"/>
      <c r="H7" s="8"/>
      <c r="I7" s="5"/>
    </row>
    <row r="8" spans="1:10" s="6" customFormat="1" ht="25.5" customHeight="1">
      <c r="A8" s="197"/>
      <c r="B8" s="10">
        <v>3</v>
      </c>
      <c r="C8" s="12" t="s">
        <v>295</v>
      </c>
      <c r="D8" s="10"/>
      <c r="E8" s="10"/>
      <c r="F8" s="10"/>
      <c r="G8" s="10"/>
      <c r="H8" s="8"/>
      <c r="I8" s="5"/>
    </row>
    <row r="9" spans="1:10" s="6" customFormat="1" ht="25.5" customHeight="1">
      <c r="A9" s="197"/>
      <c r="B9" s="10">
        <v>4</v>
      </c>
      <c r="C9" s="12" t="s">
        <v>296</v>
      </c>
      <c r="D9" s="10"/>
      <c r="E9" s="10"/>
      <c r="F9" s="10"/>
      <c r="G9" s="10"/>
      <c r="H9" s="8"/>
      <c r="I9" s="5"/>
    </row>
    <row r="10" spans="1:10" s="6" customFormat="1" ht="25.5" customHeight="1">
      <c r="A10" s="196" t="s">
        <v>10</v>
      </c>
      <c r="B10" s="13">
        <v>1</v>
      </c>
      <c r="C10" s="12" t="s">
        <v>297</v>
      </c>
      <c r="D10" s="10"/>
      <c r="E10" s="10"/>
      <c r="F10" s="10"/>
      <c r="G10" s="10"/>
      <c r="H10" s="8"/>
      <c r="I10" s="5"/>
      <c r="J10" s="5"/>
    </row>
    <row r="11" spans="1:10" ht="25.5" customHeight="1">
      <c r="A11" s="197"/>
      <c r="B11" s="13">
        <v>2</v>
      </c>
      <c r="C11" s="12" t="s">
        <v>298</v>
      </c>
      <c r="D11" s="14"/>
      <c r="E11" s="14"/>
      <c r="F11" s="14"/>
      <c r="G11" s="14"/>
      <c r="H11" s="15"/>
    </row>
    <row r="12" spans="1:10" ht="45" customHeight="1">
      <c r="A12" s="197"/>
      <c r="B12" s="13">
        <v>3</v>
      </c>
      <c r="C12" s="12" t="s">
        <v>299</v>
      </c>
      <c r="D12" s="14"/>
      <c r="E12" s="14"/>
      <c r="F12" s="14"/>
      <c r="G12" s="14"/>
      <c r="H12" s="15"/>
    </row>
    <row r="13" spans="1:10" s="6" customFormat="1" ht="41.25" customHeight="1">
      <c r="A13" s="198"/>
      <c r="B13" s="10">
        <v>4</v>
      </c>
      <c r="C13" s="12" t="s">
        <v>300</v>
      </c>
      <c r="D13" s="10"/>
      <c r="E13" s="10"/>
      <c r="F13" s="10"/>
      <c r="G13" s="10"/>
      <c r="H13" s="8"/>
      <c r="I13" s="5"/>
    </row>
    <row r="14" spans="1:10" s="6" customFormat="1" ht="25.5" customHeight="1">
      <c r="A14" s="180" t="s">
        <v>29</v>
      </c>
      <c r="B14" s="13">
        <v>1</v>
      </c>
      <c r="C14" s="12" t="s">
        <v>301</v>
      </c>
      <c r="D14" s="10"/>
      <c r="E14" s="10"/>
      <c r="F14" s="10"/>
      <c r="G14" s="10"/>
      <c r="H14" s="8"/>
      <c r="I14" s="5"/>
      <c r="J14" s="5"/>
    </row>
    <row r="15" spans="1:10" s="6" customFormat="1" ht="58.5" customHeight="1">
      <c r="A15" s="182"/>
      <c r="B15" s="13">
        <v>2</v>
      </c>
      <c r="C15" s="12" t="s">
        <v>302</v>
      </c>
      <c r="D15" s="11"/>
      <c r="E15" s="11"/>
      <c r="F15" s="11"/>
      <c r="G15" s="11"/>
      <c r="H15" s="8"/>
      <c r="I15" s="5"/>
      <c r="J15" s="5"/>
    </row>
    <row r="16" spans="1:10" s="6" customFormat="1" ht="25.5" customHeight="1">
      <c r="A16" s="180" t="s">
        <v>28</v>
      </c>
      <c r="B16" s="13">
        <v>1</v>
      </c>
      <c r="C16" s="12" t="s">
        <v>258</v>
      </c>
      <c r="D16" s="11"/>
      <c r="E16" s="11"/>
      <c r="F16" s="11"/>
      <c r="G16" s="11"/>
      <c r="H16" s="8"/>
      <c r="I16" s="5"/>
    </row>
    <row r="17" spans="1:10" s="6" customFormat="1" ht="25.5" customHeight="1">
      <c r="A17" s="181"/>
      <c r="B17" s="13">
        <v>2</v>
      </c>
      <c r="C17" s="12" t="s">
        <v>274</v>
      </c>
      <c r="D17" s="10"/>
      <c r="E17" s="10"/>
      <c r="F17" s="10"/>
      <c r="G17" s="10"/>
      <c r="H17" s="8"/>
      <c r="I17" s="5"/>
    </row>
    <row r="18" spans="1:10" s="6" customFormat="1" ht="25.5" customHeight="1">
      <c r="A18" s="180" t="s">
        <v>32</v>
      </c>
      <c r="B18" s="13">
        <v>1</v>
      </c>
      <c r="C18" s="12" t="s">
        <v>303</v>
      </c>
      <c r="D18" s="10"/>
      <c r="E18" s="10"/>
      <c r="F18" s="10"/>
      <c r="G18" s="10"/>
      <c r="H18" s="8"/>
      <c r="I18" s="5"/>
      <c r="J18" s="5"/>
    </row>
    <row r="19" spans="1:10" s="6" customFormat="1" ht="25.5" customHeight="1">
      <c r="A19" s="181"/>
      <c r="B19" s="13">
        <v>2</v>
      </c>
      <c r="C19" s="12" t="s">
        <v>304</v>
      </c>
      <c r="D19" s="10"/>
      <c r="E19" s="10"/>
      <c r="F19" s="10"/>
      <c r="G19" s="10"/>
      <c r="H19" s="8"/>
      <c r="I19" s="5"/>
      <c r="J19" s="5"/>
    </row>
    <row r="20" spans="1:10" s="5" customFormat="1" ht="24" customHeight="1">
      <c r="A20" s="196" t="s">
        <v>259</v>
      </c>
      <c r="B20" s="13">
        <v>1</v>
      </c>
      <c r="C20" s="12" t="s">
        <v>305</v>
      </c>
      <c r="D20" s="10"/>
      <c r="E20" s="10"/>
      <c r="F20" s="10"/>
      <c r="G20" s="10"/>
      <c r="H20" s="8"/>
    </row>
    <row r="21" spans="1:10" s="5" customFormat="1" ht="24" customHeight="1">
      <c r="A21" s="197"/>
      <c r="B21" s="13">
        <v>2</v>
      </c>
      <c r="C21" s="12" t="s">
        <v>306</v>
      </c>
      <c r="D21" s="10"/>
      <c r="E21" s="10"/>
      <c r="F21" s="10"/>
      <c r="G21" s="10"/>
      <c r="H21" s="8"/>
    </row>
    <row r="22" spans="1:10" s="5" customFormat="1" ht="24" customHeight="1">
      <c r="A22" s="197"/>
      <c r="B22" s="13">
        <v>3</v>
      </c>
      <c r="C22" s="12" t="s">
        <v>307</v>
      </c>
      <c r="D22" s="10"/>
      <c r="E22" s="10"/>
      <c r="F22" s="10"/>
      <c r="G22" s="10"/>
      <c r="H22" s="8"/>
    </row>
    <row r="23" spans="1:10" s="5" customFormat="1" ht="24" customHeight="1">
      <c r="A23" s="197"/>
      <c r="B23" s="13">
        <v>4</v>
      </c>
      <c r="C23" s="12" t="s">
        <v>308</v>
      </c>
      <c r="D23" s="10"/>
      <c r="E23" s="10"/>
      <c r="F23" s="10"/>
      <c r="G23" s="10"/>
      <c r="H23" s="8"/>
    </row>
    <row r="24" spans="1:10" s="5" customFormat="1" ht="150" customHeight="1">
      <c r="A24" s="196" t="s">
        <v>260</v>
      </c>
      <c r="B24" s="13">
        <v>1</v>
      </c>
      <c r="C24" s="12" t="s">
        <v>261</v>
      </c>
      <c r="D24" s="10"/>
      <c r="E24" s="10"/>
      <c r="F24" s="10"/>
      <c r="G24" s="10"/>
      <c r="H24" s="8"/>
    </row>
    <row r="25" spans="1:10" s="6" customFormat="1" ht="25.5" customHeight="1">
      <c r="A25" s="197"/>
      <c r="B25" s="10">
        <v>2</v>
      </c>
      <c r="C25" s="12" t="s">
        <v>275</v>
      </c>
      <c r="D25" s="11"/>
      <c r="E25" s="11"/>
      <c r="F25" s="11"/>
      <c r="G25" s="11"/>
      <c r="H25" s="8"/>
      <c r="I25" s="5"/>
      <c r="J25" s="5"/>
    </row>
    <row r="26" spans="1:10" s="6" customFormat="1" ht="31.5" customHeight="1">
      <c r="A26" s="180" t="s">
        <v>30</v>
      </c>
      <c r="B26" s="13">
        <v>1</v>
      </c>
      <c r="C26" s="12" t="s">
        <v>277</v>
      </c>
      <c r="D26" s="11"/>
      <c r="E26" s="11"/>
      <c r="F26" s="11"/>
      <c r="G26" s="11"/>
      <c r="H26" s="8"/>
      <c r="I26" s="5"/>
      <c r="J26" s="5"/>
    </row>
    <row r="27" spans="1:10" s="6" customFormat="1" ht="85.5" customHeight="1">
      <c r="A27" s="181"/>
      <c r="B27" s="13">
        <v>2</v>
      </c>
      <c r="C27" s="12" t="s">
        <v>309</v>
      </c>
      <c r="D27" s="11"/>
      <c r="E27" s="11"/>
      <c r="F27" s="11"/>
      <c r="G27" s="11"/>
      <c r="H27" s="8"/>
      <c r="I27" s="5"/>
      <c r="J27" s="5"/>
    </row>
    <row r="28" spans="1:10" s="6" customFormat="1" ht="24.75" customHeight="1">
      <c r="A28" s="182"/>
      <c r="B28" s="13">
        <v>3</v>
      </c>
      <c r="C28" s="12" t="s">
        <v>280</v>
      </c>
      <c r="D28" s="11"/>
      <c r="E28" s="11"/>
      <c r="F28" s="11"/>
      <c r="G28" s="11"/>
      <c r="H28" s="8"/>
      <c r="I28" s="5"/>
      <c r="J28" s="5"/>
    </row>
    <row r="29" spans="1:10" s="6" customFormat="1" ht="54.75" customHeight="1">
      <c r="A29" s="180" t="s">
        <v>33</v>
      </c>
      <c r="B29" s="13">
        <v>1</v>
      </c>
      <c r="C29" s="12" t="s">
        <v>34</v>
      </c>
      <c r="D29" s="10"/>
      <c r="E29" s="10"/>
      <c r="F29" s="10"/>
      <c r="G29" s="10"/>
      <c r="H29" s="8"/>
      <c r="I29" s="5"/>
      <c r="J29" s="5"/>
    </row>
    <row r="30" spans="1:10" s="6" customFormat="1" ht="25.5" customHeight="1">
      <c r="A30" s="181"/>
      <c r="B30" s="13">
        <v>2</v>
      </c>
      <c r="C30" s="12" t="s">
        <v>278</v>
      </c>
      <c r="D30" s="11"/>
      <c r="E30" s="11"/>
      <c r="F30" s="11"/>
      <c r="G30" s="11"/>
      <c r="H30" s="8"/>
      <c r="I30" s="5"/>
      <c r="J30" s="5"/>
    </row>
    <row r="31" spans="1:10" s="6" customFormat="1" ht="24.75" customHeight="1">
      <c r="A31" s="182"/>
      <c r="B31" s="13">
        <v>3</v>
      </c>
      <c r="C31" s="12" t="s">
        <v>279</v>
      </c>
      <c r="D31" s="11"/>
      <c r="E31" s="11"/>
      <c r="F31" s="11"/>
      <c r="G31" s="11"/>
      <c r="H31" s="8"/>
      <c r="I31" s="5"/>
      <c r="J31" s="5"/>
    </row>
    <row r="32" spans="1:10" s="5" customFormat="1" ht="25.5" customHeight="1">
      <c r="A32" s="180" t="s">
        <v>135</v>
      </c>
      <c r="B32" s="13">
        <v>1</v>
      </c>
      <c r="C32" s="12" t="s">
        <v>281</v>
      </c>
      <c r="D32" s="10"/>
      <c r="E32" s="10"/>
      <c r="F32" s="10"/>
      <c r="G32" s="10"/>
      <c r="H32" s="8"/>
    </row>
    <row r="33" spans="1:10" s="5" customFormat="1" ht="25.5" customHeight="1">
      <c r="A33" s="181"/>
      <c r="B33" s="13">
        <v>2</v>
      </c>
      <c r="C33" s="12" t="s">
        <v>138</v>
      </c>
      <c r="D33" s="10"/>
      <c r="E33" s="10"/>
      <c r="F33" s="10"/>
      <c r="G33" s="10"/>
      <c r="H33" s="8"/>
    </row>
    <row r="34" spans="1:10" s="6" customFormat="1" ht="25.5" customHeight="1">
      <c r="A34" s="181"/>
      <c r="B34" s="13">
        <v>3</v>
      </c>
      <c r="C34" s="12" t="s">
        <v>136</v>
      </c>
      <c r="D34" s="10"/>
      <c r="E34" s="10"/>
      <c r="F34" s="10"/>
      <c r="G34" s="10"/>
      <c r="H34" s="8"/>
      <c r="I34" s="5"/>
      <c r="J34" s="5"/>
    </row>
    <row r="35" spans="1:10" s="6" customFormat="1" ht="25.5" customHeight="1">
      <c r="A35" s="182"/>
      <c r="B35" s="13">
        <v>4</v>
      </c>
      <c r="C35" s="12" t="s">
        <v>262</v>
      </c>
      <c r="D35" s="10"/>
      <c r="E35" s="10"/>
      <c r="F35" s="10"/>
      <c r="G35" s="10"/>
      <c r="H35" s="8"/>
      <c r="I35" s="5"/>
      <c r="J35" s="5"/>
    </row>
    <row r="36" spans="1:10" s="6" customFormat="1" ht="25.5" customHeight="1">
      <c r="A36" s="180" t="s">
        <v>12</v>
      </c>
      <c r="B36" s="13">
        <v>1</v>
      </c>
      <c r="C36" s="16" t="s">
        <v>266</v>
      </c>
      <c r="D36" s="10"/>
      <c r="E36" s="10"/>
      <c r="F36" s="10"/>
      <c r="G36" s="10"/>
      <c r="H36" s="8"/>
      <c r="I36" s="5"/>
      <c r="J36" s="5"/>
    </row>
    <row r="37" spans="1:10" s="6" customFormat="1" ht="25.5" customHeight="1">
      <c r="A37" s="182"/>
      <c r="B37" s="13">
        <v>2</v>
      </c>
      <c r="C37" s="16" t="s">
        <v>267</v>
      </c>
      <c r="D37" s="10"/>
      <c r="E37" s="10"/>
      <c r="F37" s="10"/>
      <c r="G37" s="10"/>
      <c r="H37" s="8"/>
      <c r="I37" s="5"/>
      <c r="J37" s="5"/>
    </row>
    <row r="38" spans="1:10" s="6" customFormat="1" ht="25.5" customHeight="1">
      <c r="A38" s="180" t="s">
        <v>264</v>
      </c>
      <c r="B38" s="13">
        <v>1</v>
      </c>
      <c r="C38" s="12" t="s">
        <v>263</v>
      </c>
      <c r="D38" s="10"/>
      <c r="E38" s="10"/>
      <c r="F38" s="10"/>
      <c r="G38" s="10"/>
      <c r="H38" s="8"/>
      <c r="I38" s="5"/>
      <c r="J38" s="5"/>
    </row>
    <row r="39" spans="1:10" s="6" customFormat="1" ht="66.75" customHeight="1">
      <c r="A39" s="181"/>
      <c r="B39" s="13">
        <v>2</v>
      </c>
      <c r="C39" s="12" t="s">
        <v>268</v>
      </c>
      <c r="D39" s="10"/>
      <c r="E39" s="10"/>
      <c r="F39" s="10"/>
      <c r="G39" s="10"/>
      <c r="H39" s="8"/>
      <c r="I39" s="5"/>
      <c r="J39" s="5"/>
    </row>
    <row r="40" spans="1:10" s="5" customFormat="1" ht="25.5" customHeight="1">
      <c r="A40" s="19" t="s">
        <v>142</v>
      </c>
      <c r="B40" s="13">
        <v>1</v>
      </c>
      <c r="C40" s="12" t="s">
        <v>310</v>
      </c>
      <c r="D40" s="10"/>
      <c r="E40" s="10"/>
      <c r="F40" s="10"/>
      <c r="G40" s="10"/>
      <c r="H40" s="8"/>
    </row>
    <row r="41" spans="1:10" s="6" customFormat="1" ht="25.5" customHeight="1">
      <c r="A41" s="180" t="s">
        <v>143</v>
      </c>
      <c r="B41" s="26">
        <v>1</v>
      </c>
      <c r="C41" s="12" t="s">
        <v>311</v>
      </c>
      <c r="D41" s="10"/>
      <c r="E41" s="10"/>
      <c r="F41" s="10"/>
      <c r="G41" s="10"/>
      <c r="H41" s="8"/>
      <c r="I41" s="5"/>
      <c r="J41" s="5"/>
    </row>
    <row r="42" spans="1:10" s="6" customFormat="1" ht="80.25" customHeight="1">
      <c r="A42" s="182"/>
      <c r="B42" s="13">
        <v>2</v>
      </c>
      <c r="C42" s="12" t="s">
        <v>269</v>
      </c>
      <c r="D42" s="10"/>
      <c r="E42" s="10"/>
      <c r="F42" s="10"/>
      <c r="G42" s="10"/>
      <c r="H42" s="8"/>
      <c r="I42" s="5"/>
      <c r="J42" s="5"/>
    </row>
    <row r="43" spans="1:10" s="5" customFormat="1" ht="25.5" customHeight="1">
      <c r="A43" s="19" t="s">
        <v>22</v>
      </c>
      <c r="B43" s="10">
        <v>1</v>
      </c>
      <c r="C43" s="12" t="s">
        <v>312</v>
      </c>
      <c r="D43" s="10"/>
      <c r="E43" s="10"/>
      <c r="F43" s="10"/>
      <c r="G43" s="10"/>
      <c r="H43" s="8"/>
    </row>
    <row r="45" spans="1:10" s="6" customFormat="1" ht="102" customHeight="1">
      <c r="A45" s="28" t="s">
        <v>148</v>
      </c>
      <c r="B45" s="13"/>
      <c r="C45" s="12" t="s">
        <v>265</v>
      </c>
      <c r="D45" s="10"/>
      <c r="E45" s="10"/>
      <c r="F45" s="10"/>
      <c r="G45" s="10"/>
      <c r="H45" s="8"/>
      <c r="I45" s="5"/>
      <c r="J45" s="5"/>
    </row>
    <row r="46" spans="1:10" s="5" customFormat="1" ht="28.5" customHeight="1">
      <c r="A46" s="28" t="s">
        <v>151</v>
      </c>
      <c r="B46" s="13"/>
      <c r="C46" s="12" t="s">
        <v>152</v>
      </c>
      <c r="D46" s="10"/>
      <c r="E46" s="10"/>
      <c r="F46" s="10"/>
      <c r="G46" s="10"/>
      <c r="H46" s="8"/>
    </row>
    <row r="47" spans="1:10" s="5" customFormat="1" ht="27.75" customHeight="1">
      <c r="A47" s="28" t="s">
        <v>153</v>
      </c>
      <c r="B47" s="13"/>
      <c r="C47" s="12" t="s">
        <v>154</v>
      </c>
      <c r="D47" s="10"/>
      <c r="E47" s="10"/>
      <c r="F47" s="10"/>
      <c r="G47" s="10"/>
      <c r="H47" s="8"/>
    </row>
    <row r="48" spans="1:10" s="5" customFormat="1" ht="27.75" customHeight="1">
      <c r="A48" s="28" t="s">
        <v>282</v>
      </c>
      <c r="B48" s="13"/>
      <c r="C48" s="12" t="s">
        <v>276</v>
      </c>
      <c r="D48" s="10"/>
      <c r="E48" s="10"/>
      <c r="F48" s="10"/>
      <c r="G48" s="10"/>
      <c r="H48" s="8"/>
    </row>
    <row r="50" spans="1:13" ht="22.5" customHeight="1">
      <c r="A50" s="176" t="s">
        <v>155</v>
      </c>
      <c r="B50" s="20">
        <v>1</v>
      </c>
      <c r="C50" s="21" t="s">
        <v>157</v>
      </c>
      <c r="D50" s="10"/>
      <c r="E50" s="10"/>
      <c r="F50" s="10"/>
      <c r="G50" s="10"/>
      <c r="H50" s="15"/>
    </row>
    <row r="51" spans="1:13" ht="27" customHeight="1">
      <c r="A51" s="199" t="s">
        <v>283</v>
      </c>
      <c r="B51" s="20">
        <v>1</v>
      </c>
      <c r="C51" s="21" t="s">
        <v>285</v>
      </c>
      <c r="D51" s="10"/>
      <c r="E51" s="10"/>
      <c r="F51" s="10"/>
      <c r="G51" s="10"/>
      <c r="H51" s="17"/>
    </row>
    <row r="52" spans="1:13" ht="42" customHeight="1">
      <c r="A52" s="200"/>
      <c r="B52" s="20">
        <v>2</v>
      </c>
      <c r="C52" s="21" t="s">
        <v>287</v>
      </c>
      <c r="D52" s="10"/>
      <c r="E52" s="10"/>
      <c r="F52" s="10"/>
      <c r="G52" s="10"/>
    </row>
    <row r="53" spans="1:13" ht="75" customHeight="1">
      <c r="A53" s="200"/>
      <c r="B53" s="20">
        <v>3</v>
      </c>
      <c r="C53" s="21" t="s">
        <v>284</v>
      </c>
      <c r="D53" s="10"/>
      <c r="E53" s="10"/>
      <c r="F53" s="10"/>
      <c r="G53" s="10"/>
    </row>
    <row r="54" spans="1:13" ht="98.25" customHeight="1">
      <c r="A54" s="200"/>
      <c r="B54" s="20">
        <v>4</v>
      </c>
      <c r="C54" s="21" t="s">
        <v>286</v>
      </c>
      <c r="D54" s="10"/>
      <c r="E54" s="10"/>
      <c r="F54" s="10"/>
      <c r="G54" s="10"/>
      <c r="K54" s="2"/>
      <c r="L54" s="2"/>
      <c r="M54" s="2"/>
    </row>
    <row r="55" spans="1:13" ht="27" customHeight="1">
      <c r="A55" s="199" t="s">
        <v>158</v>
      </c>
      <c r="B55" s="20">
        <v>1</v>
      </c>
      <c r="C55" s="30" t="s">
        <v>288</v>
      </c>
      <c r="D55" s="10"/>
      <c r="E55" s="10"/>
      <c r="F55" s="10"/>
      <c r="G55" s="10"/>
      <c r="K55" s="2"/>
      <c r="L55" s="2"/>
      <c r="M55" s="2"/>
    </row>
    <row r="56" spans="1:13" ht="27" customHeight="1">
      <c r="A56" s="200"/>
      <c r="B56" s="20">
        <v>1</v>
      </c>
      <c r="C56" s="30" t="s">
        <v>289</v>
      </c>
      <c r="D56" s="10"/>
      <c r="E56" s="10"/>
      <c r="F56" s="10"/>
      <c r="G56" s="10"/>
    </row>
    <row r="57" spans="1:13" ht="42" customHeight="1">
      <c r="A57" s="31" t="s">
        <v>161</v>
      </c>
      <c r="B57" s="20">
        <v>1</v>
      </c>
      <c r="C57" s="21" t="s">
        <v>290</v>
      </c>
      <c r="D57" s="10"/>
      <c r="E57" s="10"/>
      <c r="F57" s="10"/>
      <c r="G57" s="10"/>
    </row>
  </sheetData>
  <mergeCells count="22">
    <mergeCell ref="A51:A54"/>
    <mergeCell ref="A55:A56"/>
    <mergeCell ref="A29:A31"/>
    <mergeCell ref="A36:A37"/>
    <mergeCell ref="A38:A39"/>
    <mergeCell ref="A41:A42"/>
    <mergeCell ref="A32:A35"/>
    <mergeCell ref="A26:A28"/>
    <mergeCell ref="A18:A19"/>
    <mergeCell ref="E1:G1"/>
    <mergeCell ref="A2:C4"/>
    <mergeCell ref="E3:E4"/>
    <mergeCell ref="F3:F4"/>
    <mergeCell ref="G3:G4"/>
    <mergeCell ref="A5:C5"/>
    <mergeCell ref="E5:G5"/>
    <mergeCell ref="A6:A9"/>
    <mergeCell ref="A10:A13"/>
    <mergeCell ref="A14:A15"/>
    <mergeCell ref="A16:A17"/>
    <mergeCell ref="A20:A23"/>
    <mergeCell ref="A24:A25"/>
  </mergeCells>
  <phoneticPr fontId="1" type="noConversion"/>
  <pageMargins left="0.70866141732283472" right="0.70866141732283472" top="0.74803149606299213" bottom="0" header="0.31496062992125984" footer="0.31496062992125984"/>
  <pageSetup paperSize="9" scale="61" fitToHeight="0" orientation="landscape" r:id="rId1"/>
  <rowBreaks count="1" manualBreakCount="1">
    <brk id="25" max="7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56C22-843D-414E-96B8-AB2119457CBE}">
  <sheetPr codeName="Sheet2"/>
  <dimension ref="B1:S36"/>
  <sheetViews>
    <sheetView zoomScaleNormal="100" workbookViewId="0">
      <selection activeCell="H24" sqref="H24"/>
    </sheetView>
  </sheetViews>
  <sheetFormatPr defaultRowHeight="15.75" customHeight="1"/>
  <cols>
    <col min="1" max="1" width="2.125" style="61" customWidth="1"/>
    <col min="2" max="2" width="12.25" style="61" customWidth="1"/>
    <col min="3" max="3" width="7.5" style="62" customWidth="1"/>
    <col min="4" max="4" width="11.25" style="61" customWidth="1"/>
    <col min="5" max="5" width="11" style="62" customWidth="1"/>
    <col min="6" max="6" width="11" style="63" customWidth="1"/>
    <col min="7" max="7" width="7.5" style="62" customWidth="1"/>
    <col min="8" max="11" width="9.75" style="61" customWidth="1"/>
    <col min="12" max="12" width="9.5" style="61" customWidth="1"/>
    <col min="13" max="13" width="5.375" style="61" customWidth="1"/>
    <col min="14" max="15" width="9.75" style="61" customWidth="1"/>
    <col min="16" max="16" width="9.5" style="61" customWidth="1"/>
    <col min="17" max="17" width="5.375" style="61" customWidth="1"/>
    <col min="18" max="18" width="9" style="61"/>
    <col min="19" max="19" width="35.125" style="61" customWidth="1"/>
    <col min="20" max="254" width="9" style="61"/>
    <col min="255" max="255" width="2.125" style="61" customWidth="1"/>
    <col min="256" max="256" width="13" style="61" customWidth="1"/>
    <col min="257" max="257" width="7.5" style="61" customWidth="1"/>
    <col min="258" max="258" width="7.625" style="61" customWidth="1"/>
    <col min="259" max="263" width="9.75" style="61" customWidth="1"/>
    <col min="264" max="264" width="8" style="61" customWidth="1"/>
    <col min="265" max="265" width="5.375" style="61" customWidth="1"/>
    <col min="266" max="266" width="9" style="61"/>
    <col min="267" max="267" width="10.25" style="61" customWidth="1"/>
    <col min="268" max="268" width="11.25" style="61" customWidth="1"/>
    <col min="269" max="271" width="9.125" style="61" bestFit="1" customWidth="1"/>
    <col min="272" max="272" width="9.25" style="61" bestFit="1" customWidth="1"/>
    <col min="273" max="273" width="9.125" style="61" bestFit="1" customWidth="1"/>
    <col min="274" max="274" width="9.25" style="61" bestFit="1" customWidth="1"/>
    <col min="275" max="510" width="9" style="61"/>
    <col min="511" max="511" width="2.125" style="61" customWidth="1"/>
    <col min="512" max="512" width="13" style="61" customWidth="1"/>
    <col min="513" max="513" width="7.5" style="61" customWidth="1"/>
    <col min="514" max="514" width="7.625" style="61" customWidth="1"/>
    <col min="515" max="519" width="9.75" style="61" customWidth="1"/>
    <col min="520" max="520" width="8" style="61" customWidth="1"/>
    <col min="521" max="521" width="5.375" style="61" customWidth="1"/>
    <col min="522" max="522" width="9" style="61"/>
    <col min="523" max="523" width="10.25" style="61" customWidth="1"/>
    <col min="524" max="524" width="11.25" style="61" customWidth="1"/>
    <col min="525" max="527" width="9.125" style="61" bestFit="1" customWidth="1"/>
    <col min="528" max="528" width="9.25" style="61" bestFit="1" customWidth="1"/>
    <col min="529" max="529" width="9.125" style="61" bestFit="1" customWidth="1"/>
    <col min="530" max="530" width="9.25" style="61" bestFit="1" customWidth="1"/>
    <col min="531" max="766" width="9" style="61"/>
    <col min="767" max="767" width="2.125" style="61" customWidth="1"/>
    <col min="768" max="768" width="13" style="61" customWidth="1"/>
    <col min="769" max="769" width="7.5" style="61" customWidth="1"/>
    <col min="770" max="770" width="7.625" style="61" customWidth="1"/>
    <col min="771" max="775" width="9.75" style="61" customWidth="1"/>
    <col min="776" max="776" width="8" style="61" customWidth="1"/>
    <col min="777" max="777" width="5.375" style="61" customWidth="1"/>
    <col min="778" max="778" width="9" style="61"/>
    <col min="779" max="779" width="10.25" style="61" customWidth="1"/>
    <col min="780" max="780" width="11.25" style="61" customWidth="1"/>
    <col min="781" max="783" width="9.125" style="61" bestFit="1" customWidth="1"/>
    <col min="784" max="784" width="9.25" style="61" bestFit="1" customWidth="1"/>
    <col min="785" max="785" width="9.125" style="61" bestFit="1" customWidth="1"/>
    <col min="786" max="786" width="9.25" style="61" bestFit="1" customWidth="1"/>
    <col min="787" max="1022" width="9" style="61"/>
    <col min="1023" max="1023" width="2.125" style="61" customWidth="1"/>
    <col min="1024" max="1024" width="13" style="61" customWidth="1"/>
    <col min="1025" max="1025" width="7.5" style="61" customWidth="1"/>
    <col min="1026" max="1026" width="7.625" style="61" customWidth="1"/>
    <col min="1027" max="1031" width="9.75" style="61" customWidth="1"/>
    <col min="1032" max="1032" width="8" style="61" customWidth="1"/>
    <col min="1033" max="1033" width="5.375" style="61" customWidth="1"/>
    <col min="1034" max="1034" width="9" style="61"/>
    <col min="1035" max="1035" width="10.25" style="61" customWidth="1"/>
    <col min="1036" max="1036" width="11.25" style="61" customWidth="1"/>
    <col min="1037" max="1039" width="9.125" style="61" bestFit="1" customWidth="1"/>
    <col min="1040" max="1040" width="9.25" style="61" bestFit="1" customWidth="1"/>
    <col min="1041" max="1041" width="9.125" style="61" bestFit="1" customWidth="1"/>
    <col min="1042" max="1042" width="9.25" style="61" bestFit="1" customWidth="1"/>
    <col min="1043" max="1278" width="9" style="61"/>
    <col min="1279" max="1279" width="2.125" style="61" customWidth="1"/>
    <col min="1280" max="1280" width="13" style="61" customWidth="1"/>
    <col min="1281" max="1281" width="7.5" style="61" customWidth="1"/>
    <col min="1282" max="1282" width="7.625" style="61" customWidth="1"/>
    <col min="1283" max="1287" width="9.75" style="61" customWidth="1"/>
    <col min="1288" max="1288" width="8" style="61" customWidth="1"/>
    <col min="1289" max="1289" width="5.375" style="61" customWidth="1"/>
    <col min="1290" max="1290" width="9" style="61"/>
    <col min="1291" max="1291" width="10.25" style="61" customWidth="1"/>
    <col min="1292" max="1292" width="11.25" style="61" customWidth="1"/>
    <col min="1293" max="1295" width="9.125" style="61" bestFit="1" customWidth="1"/>
    <col min="1296" max="1296" width="9.25" style="61" bestFit="1" customWidth="1"/>
    <col min="1297" max="1297" width="9.125" style="61" bestFit="1" customWidth="1"/>
    <col min="1298" max="1298" width="9.25" style="61" bestFit="1" customWidth="1"/>
    <col min="1299" max="1534" width="9" style="61"/>
    <col min="1535" max="1535" width="2.125" style="61" customWidth="1"/>
    <col min="1536" max="1536" width="13" style="61" customWidth="1"/>
    <col min="1537" max="1537" width="7.5" style="61" customWidth="1"/>
    <col min="1538" max="1538" width="7.625" style="61" customWidth="1"/>
    <col min="1539" max="1543" width="9.75" style="61" customWidth="1"/>
    <col min="1544" max="1544" width="8" style="61" customWidth="1"/>
    <col min="1545" max="1545" width="5.375" style="61" customWidth="1"/>
    <col min="1546" max="1546" width="9" style="61"/>
    <col min="1547" max="1547" width="10.25" style="61" customWidth="1"/>
    <col min="1548" max="1548" width="11.25" style="61" customWidth="1"/>
    <col min="1549" max="1551" width="9.125" style="61" bestFit="1" customWidth="1"/>
    <col min="1552" max="1552" width="9.25" style="61" bestFit="1" customWidth="1"/>
    <col min="1553" max="1553" width="9.125" style="61" bestFit="1" customWidth="1"/>
    <col min="1554" max="1554" width="9.25" style="61" bestFit="1" customWidth="1"/>
    <col min="1555" max="1790" width="9" style="61"/>
    <col min="1791" max="1791" width="2.125" style="61" customWidth="1"/>
    <col min="1792" max="1792" width="13" style="61" customWidth="1"/>
    <col min="1793" max="1793" width="7.5" style="61" customWidth="1"/>
    <col min="1794" max="1794" width="7.625" style="61" customWidth="1"/>
    <col min="1795" max="1799" width="9.75" style="61" customWidth="1"/>
    <col min="1800" max="1800" width="8" style="61" customWidth="1"/>
    <col min="1801" max="1801" width="5.375" style="61" customWidth="1"/>
    <col min="1802" max="1802" width="9" style="61"/>
    <col min="1803" max="1803" width="10.25" style="61" customWidth="1"/>
    <col min="1804" max="1804" width="11.25" style="61" customWidth="1"/>
    <col min="1805" max="1807" width="9.125" style="61" bestFit="1" customWidth="1"/>
    <col min="1808" max="1808" width="9.25" style="61" bestFit="1" customWidth="1"/>
    <col min="1809" max="1809" width="9.125" style="61" bestFit="1" customWidth="1"/>
    <col min="1810" max="1810" width="9.25" style="61" bestFit="1" customWidth="1"/>
    <col min="1811" max="2046" width="9" style="61"/>
    <col min="2047" max="2047" width="2.125" style="61" customWidth="1"/>
    <col min="2048" max="2048" width="13" style="61" customWidth="1"/>
    <col min="2049" max="2049" width="7.5" style="61" customWidth="1"/>
    <col min="2050" max="2050" width="7.625" style="61" customWidth="1"/>
    <col min="2051" max="2055" width="9.75" style="61" customWidth="1"/>
    <col min="2056" max="2056" width="8" style="61" customWidth="1"/>
    <col min="2057" max="2057" width="5.375" style="61" customWidth="1"/>
    <col min="2058" max="2058" width="9" style="61"/>
    <col min="2059" max="2059" width="10.25" style="61" customWidth="1"/>
    <col min="2060" max="2060" width="11.25" style="61" customWidth="1"/>
    <col min="2061" max="2063" width="9.125" style="61" bestFit="1" customWidth="1"/>
    <col min="2064" max="2064" width="9.25" style="61" bestFit="1" customWidth="1"/>
    <col min="2065" max="2065" width="9.125" style="61" bestFit="1" customWidth="1"/>
    <col min="2066" max="2066" width="9.25" style="61" bestFit="1" customWidth="1"/>
    <col min="2067" max="2302" width="9" style="61"/>
    <col min="2303" max="2303" width="2.125" style="61" customWidth="1"/>
    <col min="2304" max="2304" width="13" style="61" customWidth="1"/>
    <col min="2305" max="2305" width="7.5" style="61" customWidth="1"/>
    <col min="2306" max="2306" width="7.625" style="61" customWidth="1"/>
    <col min="2307" max="2311" width="9.75" style="61" customWidth="1"/>
    <col min="2312" max="2312" width="8" style="61" customWidth="1"/>
    <col min="2313" max="2313" width="5.375" style="61" customWidth="1"/>
    <col min="2314" max="2314" width="9" style="61"/>
    <col min="2315" max="2315" width="10.25" style="61" customWidth="1"/>
    <col min="2316" max="2316" width="11.25" style="61" customWidth="1"/>
    <col min="2317" max="2319" width="9.125" style="61" bestFit="1" customWidth="1"/>
    <col min="2320" max="2320" width="9.25" style="61" bestFit="1" customWidth="1"/>
    <col min="2321" max="2321" width="9.125" style="61" bestFit="1" customWidth="1"/>
    <col min="2322" max="2322" width="9.25" style="61" bestFit="1" customWidth="1"/>
    <col min="2323" max="2558" width="9" style="61"/>
    <col min="2559" max="2559" width="2.125" style="61" customWidth="1"/>
    <col min="2560" max="2560" width="13" style="61" customWidth="1"/>
    <col min="2561" max="2561" width="7.5" style="61" customWidth="1"/>
    <col min="2562" max="2562" width="7.625" style="61" customWidth="1"/>
    <col min="2563" max="2567" width="9.75" style="61" customWidth="1"/>
    <col min="2568" max="2568" width="8" style="61" customWidth="1"/>
    <col min="2569" max="2569" width="5.375" style="61" customWidth="1"/>
    <col min="2570" max="2570" width="9" style="61"/>
    <col min="2571" max="2571" width="10.25" style="61" customWidth="1"/>
    <col min="2572" max="2572" width="11.25" style="61" customWidth="1"/>
    <col min="2573" max="2575" width="9.125" style="61" bestFit="1" customWidth="1"/>
    <col min="2576" max="2576" width="9.25" style="61" bestFit="1" customWidth="1"/>
    <col min="2577" max="2577" width="9.125" style="61" bestFit="1" customWidth="1"/>
    <col min="2578" max="2578" width="9.25" style="61" bestFit="1" customWidth="1"/>
    <col min="2579" max="2814" width="9" style="61"/>
    <col min="2815" max="2815" width="2.125" style="61" customWidth="1"/>
    <col min="2816" max="2816" width="13" style="61" customWidth="1"/>
    <col min="2817" max="2817" width="7.5" style="61" customWidth="1"/>
    <col min="2818" max="2818" width="7.625" style="61" customWidth="1"/>
    <col min="2819" max="2823" width="9.75" style="61" customWidth="1"/>
    <col min="2824" max="2824" width="8" style="61" customWidth="1"/>
    <col min="2825" max="2825" width="5.375" style="61" customWidth="1"/>
    <col min="2826" max="2826" width="9" style="61"/>
    <col min="2827" max="2827" width="10.25" style="61" customWidth="1"/>
    <col min="2828" max="2828" width="11.25" style="61" customWidth="1"/>
    <col min="2829" max="2831" width="9.125" style="61" bestFit="1" customWidth="1"/>
    <col min="2832" max="2832" width="9.25" style="61" bestFit="1" customWidth="1"/>
    <col min="2833" max="2833" width="9.125" style="61" bestFit="1" customWidth="1"/>
    <col min="2834" max="2834" width="9.25" style="61" bestFit="1" customWidth="1"/>
    <col min="2835" max="3070" width="9" style="61"/>
    <col min="3071" max="3071" width="2.125" style="61" customWidth="1"/>
    <col min="3072" max="3072" width="13" style="61" customWidth="1"/>
    <col min="3073" max="3073" width="7.5" style="61" customWidth="1"/>
    <col min="3074" max="3074" width="7.625" style="61" customWidth="1"/>
    <col min="3075" max="3079" width="9.75" style="61" customWidth="1"/>
    <col min="3080" max="3080" width="8" style="61" customWidth="1"/>
    <col min="3081" max="3081" width="5.375" style="61" customWidth="1"/>
    <col min="3082" max="3082" width="9" style="61"/>
    <col min="3083" max="3083" width="10.25" style="61" customWidth="1"/>
    <col min="3084" max="3084" width="11.25" style="61" customWidth="1"/>
    <col min="3085" max="3087" width="9.125" style="61" bestFit="1" customWidth="1"/>
    <col min="3088" max="3088" width="9.25" style="61" bestFit="1" customWidth="1"/>
    <col min="3089" max="3089" width="9.125" style="61" bestFit="1" customWidth="1"/>
    <col min="3090" max="3090" width="9.25" style="61" bestFit="1" customWidth="1"/>
    <col min="3091" max="3326" width="9" style="61"/>
    <col min="3327" max="3327" width="2.125" style="61" customWidth="1"/>
    <col min="3328" max="3328" width="13" style="61" customWidth="1"/>
    <col min="3329" max="3329" width="7.5" style="61" customWidth="1"/>
    <col min="3330" max="3330" width="7.625" style="61" customWidth="1"/>
    <col min="3331" max="3335" width="9.75" style="61" customWidth="1"/>
    <col min="3336" max="3336" width="8" style="61" customWidth="1"/>
    <col min="3337" max="3337" width="5.375" style="61" customWidth="1"/>
    <col min="3338" max="3338" width="9" style="61"/>
    <col min="3339" max="3339" width="10.25" style="61" customWidth="1"/>
    <col min="3340" max="3340" width="11.25" style="61" customWidth="1"/>
    <col min="3341" max="3343" width="9.125" style="61" bestFit="1" customWidth="1"/>
    <col min="3344" max="3344" width="9.25" style="61" bestFit="1" customWidth="1"/>
    <col min="3345" max="3345" width="9.125" style="61" bestFit="1" customWidth="1"/>
    <col min="3346" max="3346" width="9.25" style="61" bestFit="1" customWidth="1"/>
    <col min="3347" max="3582" width="9" style="61"/>
    <col min="3583" max="3583" width="2.125" style="61" customWidth="1"/>
    <col min="3584" max="3584" width="13" style="61" customWidth="1"/>
    <col min="3585" max="3585" width="7.5" style="61" customWidth="1"/>
    <col min="3586" max="3586" width="7.625" style="61" customWidth="1"/>
    <col min="3587" max="3591" width="9.75" style="61" customWidth="1"/>
    <col min="3592" max="3592" width="8" style="61" customWidth="1"/>
    <col min="3593" max="3593" width="5.375" style="61" customWidth="1"/>
    <col min="3594" max="3594" width="9" style="61"/>
    <col min="3595" max="3595" width="10.25" style="61" customWidth="1"/>
    <col min="3596" max="3596" width="11.25" style="61" customWidth="1"/>
    <col min="3597" max="3599" width="9.125" style="61" bestFit="1" customWidth="1"/>
    <col min="3600" max="3600" width="9.25" style="61" bestFit="1" customWidth="1"/>
    <col min="3601" max="3601" width="9.125" style="61" bestFit="1" customWidth="1"/>
    <col min="3602" max="3602" width="9.25" style="61" bestFit="1" customWidth="1"/>
    <col min="3603" max="3838" width="9" style="61"/>
    <col min="3839" max="3839" width="2.125" style="61" customWidth="1"/>
    <col min="3840" max="3840" width="13" style="61" customWidth="1"/>
    <col min="3841" max="3841" width="7.5" style="61" customWidth="1"/>
    <col min="3842" max="3842" width="7.625" style="61" customWidth="1"/>
    <col min="3843" max="3847" width="9.75" style="61" customWidth="1"/>
    <col min="3848" max="3848" width="8" style="61" customWidth="1"/>
    <col min="3849" max="3849" width="5.375" style="61" customWidth="1"/>
    <col min="3850" max="3850" width="9" style="61"/>
    <col min="3851" max="3851" width="10.25" style="61" customWidth="1"/>
    <col min="3852" max="3852" width="11.25" style="61" customWidth="1"/>
    <col min="3853" max="3855" width="9.125" style="61" bestFit="1" customWidth="1"/>
    <col min="3856" max="3856" width="9.25" style="61" bestFit="1" customWidth="1"/>
    <col min="3857" max="3857" width="9.125" style="61" bestFit="1" customWidth="1"/>
    <col min="3858" max="3858" width="9.25" style="61" bestFit="1" customWidth="1"/>
    <col min="3859" max="4094" width="9" style="61"/>
    <col min="4095" max="4095" width="2.125" style="61" customWidth="1"/>
    <col min="4096" max="4096" width="13" style="61" customWidth="1"/>
    <col min="4097" max="4097" width="7.5" style="61" customWidth="1"/>
    <col min="4098" max="4098" width="7.625" style="61" customWidth="1"/>
    <col min="4099" max="4103" width="9.75" style="61" customWidth="1"/>
    <col min="4104" max="4104" width="8" style="61" customWidth="1"/>
    <col min="4105" max="4105" width="5.375" style="61" customWidth="1"/>
    <col min="4106" max="4106" width="9" style="61"/>
    <col min="4107" max="4107" width="10.25" style="61" customWidth="1"/>
    <col min="4108" max="4108" width="11.25" style="61" customWidth="1"/>
    <col min="4109" max="4111" width="9.125" style="61" bestFit="1" customWidth="1"/>
    <col min="4112" max="4112" width="9.25" style="61" bestFit="1" customWidth="1"/>
    <col min="4113" max="4113" width="9.125" style="61" bestFit="1" customWidth="1"/>
    <col min="4114" max="4114" width="9.25" style="61" bestFit="1" customWidth="1"/>
    <col min="4115" max="4350" width="9" style="61"/>
    <col min="4351" max="4351" width="2.125" style="61" customWidth="1"/>
    <col min="4352" max="4352" width="13" style="61" customWidth="1"/>
    <col min="4353" max="4353" width="7.5" style="61" customWidth="1"/>
    <col min="4354" max="4354" width="7.625" style="61" customWidth="1"/>
    <col min="4355" max="4359" width="9.75" style="61" customWidth="1"/>
    <col min="4360" max="4360" width="8" style="61" customWidth="1"/>
    <col min="4361" max="4361" width="5.375" style="61" customWidth="1"/>
    <col min="4362" max="4362" width="9" style="61"/>
    <col min="4363" max="4363" width="10.25" style="61" customWidth="1"/>
    <col min="4364" max="4364" width="11.25" style="61" customWidth="1"/>
    <col min="4365" max="4367" width="9.125" style="61" bestFit="1" customWidth="1"/>
    <col min="4368" max="4368" width="9.25" style="61" bestFit="1" customWidth="1"/>
    <col min="4369" max="4369" width="9.125" style="61" bestFit="1" customWidth="1"/>
    <col min="4370" max="4370" width="9.25" style="61" bestFit="1" customWidth="1"/>
    <col min="4371" max="4606" width="9" style="61"/>
    <col min="4607" max="4607" width="2.125" style="61" customWidth="1"/>
    <col min="4608" max="4608" width="13" style="61" customWidth="1"/>
    <col min="4609" max="4609" width="7.5" style="61" customWidth="1"/>
    <col min="4610" max="4610" width="7.625" style="61" customWidth="1"/>
    <col min="4611" max="4615" width="9.75" style="61" customWidth="1"/>
    <col min="4616" max="4616" width="8" style="61" customWidth="1"/>
    <col min="4617" max="4617" width="5.375" style="61" customWidth="1"/>
    <col min="4618" max="4618" width="9" style="61"/>
    <col min="4619" max="4619" width="10.25" style="61" customWidth="1"/>
    <col min="4620" max="4620" width="11.25" style="61" customWidth="1"/>
    <col min="4621" max="4623" width="9.125" style="61" bestFit="1" customWidth="1"/>
    <col min="4624" max="4624" width="9.25" style="61" bestFit="1" customWidth="1"/>
    <col min="4625" max="4625" width="9.125" style="61" bestFit="1" customWidth="1"/>
    <col min="4626" max="4626" width="9.25" style="61" bestFit="1" customWidth="1"/>
    <col min="4627" max="4862" width="9" style="61"/>
    <col min="4863" max="4863" width="2.125" style="61" customWidth="1"/>
    <col min="4864" max="4864" width="13" style="61" customWidth="1"/>
    <col min="4865" max="4865" width="7.5" style="61" customWidth="1"/>
    <col min="4866" max="4866" width="7.625" style="61" customWidth="1"/>
    <col min="4867" max="4871" width="9.75" style="61" customWidth="1"/>
    <col min="4872" max="4872" width="8" style="61" customWidth="1"/>
    <col min="4873" max="4873" width="5.375" style="61" customWidth="1"/>
    <col min="4874" max="4874" width="9" style="61"/>
    <col min="4875" max="4875" width="10.25" style="61" customWidth="1"/>
    <col min="4876" max="4876" width="11.25" style="61" customWidth="1"/>
    <col min="4877" max="4879" width="9.125" style="61" bestFit="1" customWidth="1"/>
    <col min="4880" max="4880" width="9.25" style="61" bestFit="1" customWidth="1"/>
    <col min="4881" max="4881" width="9.125" style="61" bestFit="1" customWidth="1"/>
    <col min="4882" max="4882" width="9.25" style="61" bestFit="1" customWidth="1"/>
    <col min="4883" max="5118" width="9" style="61"/>
    <col min="5119" max="5119" width="2.125" style="61" customWidth="1"/>
    <col min="5120" max="5120" width="13" style="61" customWidth="1"/>
    <col min="5121" max="5121" width="7.5" style="61" customWidth="1"/>
    <col min="5122" max="5122" width="7.625" style="61" customWidth="1"/>
    <col min="5123" max="5127" width="9.75" style="61" customWidth="1"/>
    <col min="5128" max="5128" width="8" style="61" customWidth="1"/>
    <col min="5129" max="5129" width="5.375" style="61" customWidth="1"/>
    <col min="5130" max="5130" width="9" style="61"/>
    <col min="5131" max="5131" width="10.25" style="61" customWidth="1"/>
    <col min="5132" max="5132" width="11.25" style="61" customWidth="1"/>
    <col min="5133" max="5135" width="9.125" style="61" bestFit="1" customWidth="1"/>
    <col min="5136" max="5136" width="9.25" style="61" bestFit="1" customWidth="1"/>
    <col min="5137" max="5137" width="9.125" style="61" bestFit="1" customWidth="1"/>
    <col min="5138" max="5138" width="9.25" style="61" bestFit="1" customWidth="1"/>
    <col min="5139" max="5374" width="9" style="61"/>
    <col min="5375" max="5375" width="2.125" style="61" customWidth="1"/>
    <col min="5376" max="5376" width="13" style="61" customWidth="1"/>
    <col min="5377" max="5377" width="7.5" style="61" customWidth="1"/>
    <col min="5378" max="5378" width="7.625" style="61" customWidth="1"/>
    <col min="5379" max="5383" width="9.75" style="61" customWidth="1"/>
    <col min="5384" max="5384" width="8" style="61" customWidth="1"/>
    <col min="5385" max="5385" width="5.375" style="61" customWidth="1"/>
    <col min="5386" max="5386" width="9" style="61"/>
    <col min="5387" max="5387" width="10.25" style="61" customWidth="1"/>
    <col min="5388" max="5388" width="11.25" style="61" customWidth="1"/>
    <col min="5389" max="5391" width="9.125" style="61" bestFit="1" customWidth="1"/>
    <col min="5392" max="5392" width="9.25" style="61" bestFit="1" customWidth="1"/>
    <col min="5393" max="5393" width="9.125" style="61" bestFit="1" customWidth="1"/>
    <col min="5394" max="5394" width="9.25" style="61" bestFit="1" customWidth="1"/>
    <col min="5395" max="5630" width="9" style="61"/>
    <col min="5631" max="5631" width="2.125" style="61" customWidth="1"/>
    <col min="5632" max="5632" width="13" style="61" customWidth="1"/>
    <col min="5633" max="5633" width="7.5" style="61" customWidth="1"/>
    <col min="5634" max="5634" width="7.625" style="61" customWidth="1"/>
    <col min="5635" max="5639" width="9.75" style="61" customWidth="1"/>
    <col min="5640" max="5640" width="8" style="61" customWidth="1"/>
    <col min="5641" max="5641" width="5.375" style="61" customWidth="1"/>
    <col min="5642" max="5642" width="9" style="61"/>
    <col min="5643" max="5643" width="10.25" style="61" customWidth="1"/>
    <col min="5644" max="5644" width="11.25" style="61" customWidth="1"/>
    <col min="5645" max="5647" width="9.125" style="61" bestFit="1" customWidth="1"/>
    <col min="5648" max="5648" width="9.25" style="61" bestFit="1" customWidth="1"/>
    <col min="5649" max="5649" width="9.125" style="61" bestFit="1" customWidth="1"/>
    <col min="5650" max="5650" width="9.25" style="61" bestFit="1" customWidth="1"/>
    <col min="5651" max="5886" width="9" style="61"/>
    <col min="5887" max="5887" width="2.125" style="61" customWidth="1"/>
    <col min="5888" max="5888" width="13" style="61" customWidth="1"/>
    <col min="5889" max="5889" width="7.5" style="61" customWidth="1"/>
    <col min="5890" max="5890" width="7.625" style="61" customWidth="1"/>
    <col min="5891" max="5895" width="9.75" style="61" customWidth="1"/>
    <col min="5896" max="5896" width="8" style="61" customWidth="1"/>
    <col min="5897" max="5897" width="5.375" style="61" customWidth="1"/>
    <col min="5898" max="5898" width="9" style="61"/>
    <col min="5899" max="5899" width="10.25" style="61" customWidth="1"/>
    <col min="5900" max="5900" width="11.25" style="61" customWidth="1"/>
    <col min="5901" max="5903" width="9.125" style="61" bestFit="1" customWidth="1"/>
    <col min="5904" max="5904" width="9.25" style="61" bestFit="1" customWidth="1"/>
    <col min="5905" max="5905" width="9.125" style="61" bestFit="1" customWidth="1"/>
    <col min="5906" max="5906" width="9.25" style="61" bestFit="1" customWidth="1"/>
    <col min="5907" max="6142" width="9" style="61"/>
    <col min="6143" max="6143" width="2.125" style="61" customWidth="1"/>
    <col min="6144" max="6144" width="13" style="61" customWidth="1"/>
    <col min="6145" max="6145" width="7.5" style="61" customWidth="1"/>
    <col min="6146" max="6146" width="7.625" style="61" customWidth="1"/>
    <col min="6147" max="6151" width="9.75" style="61" customWidth="1"/>
    <col min="6152" max="6152" width="8" style="61" customWidth="1"/>
    <col min="6153" max="6153" width="5.375" style="61" customWidth="1"/>
    <col min="6154" max="6154" width="9" style="61"/>
    <col min="6155" max="6155" width="10.25" style="61" customWidth="1"/>
    <col min="6156" max="6156" width="11.25" style="61" customWidth="1"/>
    <col min="6157" max="6159" width="9.125" style="61" bestFit="1" customWidth="1"/>
    <col min="6160" max="6160" width="9.25" style="61" bestFit="1" customWidth="1"/>
    <col min="6161" max="6161" width="9.125" style="61" bestFit="1" customWidth="1"/>
    <col min="6162" max="6162" width="9.25" style="61" bestFit="1" customWidth="1"/>
    <col min="6163" max="6398" width="9" style="61"/>
    <col min="6399" max="6399" width="2.125" style="61" customWidth="1"/>
    <col min="6400" max="6400" width="13" style="61" customWidth="1"/>
    <col min="6401" max="6401" width="7.5" style="61" customWidth="1"/>
    <col min="6402" max="6402" width="7.625" style="61" customWidth="1"/>
    <col min="6403" max="6407" width="9.75" style="61" customWidth="1"/>
    <col min="6408" max="6408" width="8" style="61" customWidth="1"/>
    <col min="6409" max="6409" width="5.375" style="61" customWidth="1"/>
    <col min="6410" max="6410" width="9" style="61"/>
    <col min="6411" max="6411" width="10.25" style="61" customWidth="1"/>
    <col min="6412" max="6412" width="11.25" style="61" customWidth="1"/>
    <col min="6413" max="6415" width="9.125" style="61" bestFit="1" customWidth="1"/>
    <col min="6416" max="6416" width="9.25" style="61" bestFit="1" customWidth="1"/>
    <col min="6417" max="6417" width="9.125" style="61" bestFit="1" customWidth="1"/>
    <col min="6418" max="6418" width="9.25" style="61" bestFit="1" customWidth="1"/>
    <col min="6419" max="6654" width="9" style="61"/>
    <col min="6655" max="6655" width="2.125" style="61" customWidth="1"/>
    <col min="6656" max="6656" width="13" style="61" customWidth="1"/>
    <col min="6657" max="6657" width="7.5" style="61" customWidth="1"/>
    <col min="6658" max="6658" width="7.625" style="61" customWidth="1"/>
    <col min="6659" max="6663" width="9.75" style="61" customWidth="1"/>
    <col min="6664" max="6664" width="8" style="61" customWidth="1"/>
    <col min="6665" max="6665" width="5.375" style="61" customWidth="1"/>
    <col min="6666" max="6666" width="9" style="61"/>
    <col min="6667" max="6667" width="10.25" style="61" customWidth="1"/>
    <col min="6668" max="6668" width="11.25" style="61" customWidth="1"/>
    <col min="6669" max="6671" width="9.125" style="61" bestFit="1" customWidth="1"/>
    <col min="6672" max="6672" width="9.25" style="61" bestFit="1" customWidth="1"/>
    <col min="6673" max="6673" width="9.125" style="61" bestFit="1" customWidth="1"/>
    <col min="6674" max="6674" width="9.25" style="61" bestFit="1" customWidth="1"/>
    <col min="6675" max="6910" width="9" style="61"/>
    <col min="6911" max="6911" width="2.125" style="61" customWidth="1"/>
    <col min="6912" max="6912" width="13" style="61" customWidth="1"/>
    <col min="6913" max="6913" width="7.5" style="61" customWidth="1"/>
    <col min="6914" max="6914" width="7.625" style="61" customWidth="1"/>
    <col min="6915" max="6919" width="9.75" style="61" customWidth="1"/>
    <col min="6920" max="6920" width="8" style="61" customWidth="1"/>
    <col min="6921" max="6921" width="5.375" style="61" customWidth="1"/>
    <col min="6922" max="6922" width="9" style="61"/>
    <col min="6923" max="6923" width="10.25" style="61" customWidth="1"/>
    <col min="6924" max="6924" width="11.25" style="61" customWidth="1"/>
    <col min="6925" max="6927" width="9.125" style="61" bestFit="1" customWidth="1"/>
    <col min="6928" max="6928" width="9.25" style="61" bestFit="1" customWidth="1"/>
    <col min="6929" max="6929" width="9.125" style="61" bestFit="1" customWidth="1"/>
    <col min="6930" max="6930" width="9.25" style="61" bestFit="1" customWidth="1"/>
    <col min="6931" max="7166" width="9" style="61"/>
    <col min="7167" max="7167" width="2.125" style="61" customWidth="1"/>
    <col min="7168" max="7168" width="13" style="61" customWidth="1"/>
    <col min="7169" max="7169" width="7.5" style="61" customWidth="1"/>
    <col min="7170" max="7170" width="7.625" style="61" customWidth="1"/>
    <col min="7171" max="7175" width="9.75" style="61" customWidth="1"/>
    <col min="7176" max="7176" width="8" style="61" customWidth="1"/>
    <col min="7177" max="7177" width="5.375" style="61" customWidth="1"/>
    <col min="7178" max="7178" width="9" style="61"/>
    <col min="7179" max="7179" width="10.25" style="61" customWidth="1"/>
    <col min="7180" max="7180" width="11.25" style="61" customWidth="1"/>
    <col min="7181" max="7183" width="9.125" style="61" bestFit="1" customWidth="1"/>
    <col min="7184" max="7184" width="9.25" style="61" bestFit="1" customWidth="1"/>
    <col min="7185" max="7185" width="9.125" style="61" bestFit="1" customWidth="1"/>
    <col min="7186" max="7186" width="9.25" style="61" bestFit="1" customWidth="1"/>
    <col min="7187" max="7422" width="9" style="61"/>
    <col min="7423" max="7423" width="2.125" style="61" customWidth="1"/>
    <col min="7424" max="7424" width="13" style="61" customWidth="1"/>
    <col min="7425" max="7425" width="7.5" style="61" customWidth="1"/>
    <col min="7426" max="7426" width="7.625" style="61" customWidth="1"/>
    <col min="7427" max="7431" width="9.75" style="61" customWidth="1"/>
    <col min="7432" max="7432" width="8" style="61" customWidth="1"/>
    <col min="7433" max="7433" width="5.375" style="61" customWidth="1"/>
    <col min="7434" max="7434" width="9" style="61"/>
    <col min="7435" max="7435" width="10.25" style="61" customWidth="1"/>
    <col min="7436" max="7436" width="11.25" style="61" customWidth="1"/>
    <col min="7437" max="7439" width="9.125" style="61" bestFit="1" customWidth="1"/>
    <col min="7440" max="7440" width="9.25" style="61" bestFit="1" customWidth="1"/>
    <col min="7441" max="7441" width="9.125" style="61" bestFit="1" customWidth="1"/>
    <col min="7442" max="7442" width="9.25" style="61" bestFit="1" customWidth="1"/>
    <col min="7443" max="7678" width="9" style="61"/>
    <col min="7679" max="7679" width="2.125" style="61" customWidth="1"/>
    <col min="7680" max="7680" width="13" style="61" customWidth="1"/>
    <col min="7681" max="7681" width="7.5" style="61" customWidth="1"/>
    <col min="7682" max="7682" width="7.625" style="61" customWidth="1"/>
    <col min="7683" max="7687" width="9.75" style="61" customWidth="1"/>
    <col min="7688" max="7688" width="8" style="61" customWidth="1"/>
    <col min="7689" max="7689" width="5.375" style="61" customWidth="1"/>
    <col min="7690" max="7690" width="9" style="61"/>
    <col min="7691" max="7691" width="10.25" style="61" customWidth="1"/>
    <col min="7692" max="7692" width="11.25" style="61" customWidth="1"/>
    <col min="7693" max="7695" width="9.125" style="61" bestFit="1" customWidth="1"/>
    <col min="7696" max="7696" width="9.25" style="61" bestFit="1" customWidth="1"/>
    <col min="7697" max="7697" width="9.125" style="61" bestFit="1" customWidth="1"/>
    <col min="7698" max="7698" width="9.25" style="61" bestFit="1" customWidth="1"/>
    <col min="7699" max="7934" width="9" style="61"/>
    <col min="7935" max="7935" width="2.125" style="61" customWidth="1"/>
    <col min="7936" max="7936" width="13" style="61" customWidth="1"/>
    <col min="7937" max="7937" width="7.5" style="61" customWidth="1"/>
    <col min="7938" max="7938" width="7.625" style="61" customWidth="1"/>
    <col min="7939" max="7943" width="9.75" style="61" customWidth="1"/>
    <col min="7944" max="7944" width="8" style="61" customWidth="1"/>
    <col min="7945" max="7945" width="5.375" style="61" customWidth="1"/>
    <col min="7946" max="7946" width="9" style="61"/>
    <col min="7947" max="7947" width="10.25" style="61" customWidth="1"/>
    <col min="7948" max="7948" width="11.25" style="61" customWidth="1"/>
    <col min="7949" max="7951" width="9.125" style="61" bestFit="1" customWidth="1"/>
    <col min="7952" max="7952" width="9.25" style="61" bestFit="1" customWidth="1"/>
    <col min="7953" max="7953" width="9.125" style="61" bestFit="1" customWidth="1"/>
    <col min="7954" max="7954" width="9.25" style="61" bestFit="1" customWidth="1"/>
    <col min="7955" max="8190" width="9" style="61"/>
    <col min="8191" max="8191" width="2.125" style="61" customWidth="1"/>
    <col min="8192" max="8192" width="13" style="61" customWidth="1"/>
    <col min="8193" max="8193" width="7.5" style="61" customWidth="1"/>
    <col min="8194" max="8194" width="7.625" style="61" customWidth="1"/>
    <col min="8195" max="8199" width="9.75" style="61" customWidth="1"/>
    <col min="8200" max="8200" width="8" style="61" customWidth="1"/>
    <col min="8201" max="8201" width="5.375" style="61" customWidth="1"/>
    <col min="8202" max="8202" width="9" style="61"/>
    <col min="8203" max="8203" width="10.25" style="61" customWidth="1"/>
    <col min="8204" max="8204" width="11.25" style="61" customWidth="1"/>
    <col min="8205" max="8207" width="9.125" style="61" bestFit="1" customWidth="1"/>
    <col min="8208" max="8208" width="9.25" style="61" bestFit="1" customWidth="1"/>
    <col min="8209" max="8209" width="9.125" style="61" bestFit="1" customWidth="1"/>
    <col min="8210" max="8210" width="9.25" style="61" bestFit="1" customWidth="1"/>
    <col min="8211" max="8446" width="9" style="61"/>
    <col min="8447" max="8447" width="2.125" style="61" customWidth="1"/>
    <col min="8448" max="8448" width="13" style="61" customWidth="1"/>
    <col min="8449" max="8449" width="7.5" style="61" customWidth="1"/>
    <col min="8450" max="8450" width="7.625" style="61" customWidth="1"/>
    <col min="8451" max="8455" width="9.75" style="61" customWidth="1"/>
    <col min="8456" max="8456" width="8" style="61" customWidth="1"/>
    <col min="8457" max="8457" width="5.375" style="61" customWidth="1"/>
    <col min="8458" max="8458" width="9" style="61"/>
    <col min="8459" max="8459" width="10.25" style="61" customWidth="1"/>
    <col min="8460" max="8460" width="11.25" style="61" customWidth="1"/>
    <col min="8461" max="8463" width="9.125" style="61" bestFit="1" customWidth="1"/>
    <col min="8464" max="8464" width="9.25" style="61" bestFit="1" customWidth="1"/>
    <col min="8465" max="8465" width="9.125" style="61" bestFit="1" customWidth="1"/>
    <col min="8466" max="8466" width="9.25" style="61" bestFit="1" customWidth="1"/>
    <col min="8467" max="8702" width="9" style="61"/>
    <col min="8703" max="8703" width="2.125" style="61" customWidth="1"/>
    <col min="8704" max="8704" width="13" style="61" customWidth="1"/>
    <col min="8705" max="8705" width="7.5" style="61" customWidth="1"/>
    <col min="8706" max="8706" width="7.625" style="61" customWidth="1"/>
    <col min="8707" max="8711" width="9.75" style="61" customWidth="1"/>
    <col min="8712" max="8712" width="8" style="61" customWidth="1"/>
    <col min="8713" max="8713" width="5.375" style="61" customWidth="1"/>
    <col min="8714" max="8714" width="9" style="61"/>
    <col min="8715" max="8715" width="10.25" style="61" customWidth="1"/>
    <col min="8716" max="8716" width="11.25" style="61" customWidth="1"/>
    <col min="8717" max="8719" width="9.125" style="61" bestFit="1" customWidth="1"/>
    <col min="8720" max="8720" width="9.25" style="61" bestFit="1" customWidth="1"/>
    <col min="8721" max="8721" width="9.125" style="61" bestFit="1" customWidth="1"/>
    <col min="8722" max="8722" width="9.25" style="61" bestFit="1" customWidth="1"/>
    <col min="8723" max="8958" width="9" style="61"/>
    <col min="8959" max="8959" width="2.125" style="61" customWidth="1"/>
    <col min="8960" max="8960" width="13" style="61" customWidth="1"/>
    <col min="8961" max="8961" width="7.5" style="61" customWidth="1"/>
    <col min="8962" max="8962" width="7.625" style="61" customWidth="1"/>
    <col min="8963" max="8967" width="9.75" style="61" customWidth="1"/>
    <col min="8968" max="8968" width="8" style="61" customWidth="1"/>
    <col min="8969" max="8969" width="5.375" style="61" customWidth="1"/>
    <col min="8970" max="8970" width="9" style="61"/>
    <col min="8971" max="8971" width="10.25" style="61" customWidth="1"/>
    <col min="8972" max="8972" width="11.25" style="61" customWidth="1"/>
    <col min="8973" max="8975" width="9.125" style="61" bestFit="1" customWidth="1"/>
    <col min="8976" max="8976" width="9.25" style="61" bestFit="1" customWidth="1"/>
    <col min="8977" max="8977" width="9.125" style="61" bestFit="1" customWidth="1"/>
    <col min="8978" max="8978" width="9.25" style="61" bestFit="1" customWidth="1"/>
    <col min="8979" max="9214" width="9" style="61"/>
    <col min="9215" max="9215" width="2.125" style="61" customWidth="1"/>
    <col min="9216" max="9216" width="13" style="61" customWidth="1"/>
    <col min="9217" max="9217" width="7.5" style="61" customWidth="1"/>
    <col min="9218" max="9218" width="7.625" style="61" customWidth="1"/>
    <col min="9219" max="9223" width="9.75" style="61" customWidth="1"/>
    <col min="9224" max="9224" width="8" style="61" customWidth="1"/>
    <col min="9225" max="9225" width="5.375" style="61" customWidth="1"/>
    <col min="9226" max="9226" width="9" style="61"/>
    <col min="9227" max="9227" width="10.25" style="61" customWidth="1"/>
    <col min="9228" max="9228" width="11.25" style="61" customWidth="1"/>
    <col min="9229" max="9231" width="9.125" style="61" bestFit="1" customWidth="1"/>
    <col min="9232" max="9232" width="9.25" style="61" bestFit="1" customWidth="1"/>
    <col min="9233" max="9233" width="9.125" style="61" bestFit="1" customWidth="1"/>
    <col min="9234" max="9234" width="9.25" style="61" bestFit="1" customWidth="1"/>
    <col min="9235" max="9470" width="9" style="61"/>
    <col min="9471" max="9471" width="2.125" style="61" customWidth="1"/>
    <col min="9472" max="9472" width="13" style="61" customWidth="1"/>
    <col min="9473" max="9473" width="7.5" style="61" customWidth="1"/>
    <col min="9474" max="9474" width="7.625" style="61" customWidth="1"/>
    <col min="9475" max="9479" width="9.75" style="61" customWidth="1"/>
    <col min="9480" max="9480" width="8" style="61" customWidth="1"/>
    <col min="9481" max="9481" width="5.375" style="61" customWidth="1"/>
    <col min="9482" max="9482" width="9" style="61"/>
    <col min="9483" max="9483" width="10.25" style="61" customWidth="1"/>
    <col min="9484" max="9484" width="11.25" style="61" customWidth="1"/>
    <col min="9485" max="9487" width="9.125" style="61" bestFit="1" customWidth="1"/>
    <col min="9488" max="9488" width="9.25" style="61" bestFit="1" customWidth="1"/>
    <col min="9489" max="9489" width="9.125" style="61" bestFit="1" customWidth="1"/>
    <col min="9490" max="9490" width="9.25" style="61" bestFit="1" customWidth="1"/>
    <col min="9491" max="9726" width="9" style="61"/>
    <col min="9727" max="9727" width="2.125" style="61" customWidth="1"/>
    <col min="9728" max="9728" width="13" style="61" customWidth="1"/>
    <col min="9729" max="9729" width="7.5" style="61" customWidth="1"/>
    <col min="9730" max="9730" width="7.625" style="61" customWidth="1"/>
    <col min="9731" max="9735" width="9.75" style="61" customWidth="1"/>
    <col min="9736" max="9736" width="8" style="61" customWidth="1"/>
    <col min="9737" max="9737" width="5.375" style="61" customWidth="1"/>
    <col min="9738" max="9738" width="9" style="61"/>
    <col min="9739" max="9739" width="10.25" style="61" customWidth="1"/>
    <col min="9740" max="9740" width="11.25" style="61" customWidth="1"/>
    <col min="9741" max="9743" width="9.125" style="61" bestFit="1" customWidth="1"/>
    <col min="9744" max="9744" width="9.25" style="61" bestFit="1" customWidth="1"/>
    <col min="9745" max="9745" width="9.125" style="61" bestFit="1" customWidth="1"/>
    <col min="9746" max="9746" width="9.25" style="61" bestFit="1" customWidth="1"/>
    <col min="9747" max="9982" width="9" style="61"/>
    <col min="9983" max="9983" width="2.125" style="61" customWidth="1"/>
    <col min="9984" max="9984" width="13" style="61" customWidth="1"/>
    <col min="9985" max="9985" width="7.5" style="61" customWidth="1"/>
    <col min="9986" max="9986" width="7.625" style="61" customWidth="1"/>
    <col min="9987" max="9991" width="9.75" style="61" customWidth="1"/>
    <col min="9992" max="9992" width="8" style="61" customWidth="1"/>
    <col min="9993" max="9993" width="5.375" style="61" customWidth="1"/>
    <col min="9994" max="9994" width="9" style="61"/>
    <col min="9995" max="9995" width="10.25" style="61" customWidth="1"/>
    <col min="9996" max="9996" width="11.25" style="61" customWidth="1"/>
    <col min="9997" max="9999" width="9.125" style="61" bestFit="1" customWidth="1"/>
    <col min="10000" max="10000" width="9.25" style="61" bestFit="1" customWidth="1"/>
    <col min="10001" max="10001" width="9.125" style="61" bestFit="1" customWidth="1"/>
    <col min="10002" max="10002" width="9.25" style="61" bestFit="1" customWidth="1"/>
    <col min="10003" max="10238" width="9" style="61"/>
    <col min="10239" max="10239" width="2.125" style="61" customWidth="1"/>
    <col min="10240" max="10240" width="13" style="61" customWidth="1"/>
    <col min="10241" max="10241" width="7.5" style="61" customWidth="1"/>
    <col min="10242" max="10242" width="7.625" style="61" customWidth="1"/>
    <col min="10243" max="10247" width="9.75" style="61" customWidth="1"/>
    <col min="10248" max="10248" width="8" style="61" customWidth="1"/>
    <col min="10249" max="10249" width="5.375" style="61" customWidth="1"/>
    <col min="10250" max="10250" width="9" style="61"/>
    <col min="10251" max="10251" width="10.25" style="61" customWidth="1"/>
    <col min="10252" max="10252" width="11.25" style="61" customWidth="1"/>
    <col min="10253" max="10255" width="9.125" style="61" bestFit="1" customWidth="1"/>
    <col min="10256" max="10256" width="9.25" style="61" bestFit="1" customWidth="1"/>
    <col min="10257" max="10257" width="9.125" style="61" bestFit="1" customWidth="1"/>
    <col min="10258" max="10258" width="9.25" style="61" bestFit="1" customWidth="1"/>
    <col min="10259" max="10494" width="9" style="61"/>
    <col min="10495" max="10495" width="2.125" style="61" customWidth="1"/>
    <col min="10496" max="10496" width="13" style="61" customWidth="1"/>
    <col min="10497" max="10497" width="7.5" style="61" customWidth="1"/>
    <col min="10498" max="10498" width="7.625" style="61" customWidth="1"/>
    <col min="10499" max="10503" width="9.75" style="61" customWidth="1"/>
    <col min="10504" max="10504" width="8" style="61" customWidth="1"/>
    <col min="10505" max="10505" width="5.375" style="61" customWidth="1"/>
    <col min="10506" max="10506" width="9" style="61"/>
    <col min="10507" max="10507" width="10.25" style="61" customWidth="1"/>
    <col min="10508" max="10508" width="11.25" style="61" customWidth="1"/>
    <col min="10509" max="10511" width="9.125" style="61" bestFit="1" customWidth="1"/>
    <col min="10512" max="10512" width="9.25" style="61" bestFit="1" customWidth="1"/>
    <col min="10513" max="10513" width="9.125" style="61" bestFit="1" customWidth="1"/>
    <col min="10514" max="10514" width="9.25" style="61" bestFit="1" customWidth="1"/>
    <col min="10515" max="10750" width="9" style="61"/>
    <col min="10751" max="10751" width="2.125" style="61" customWidth="1"/>
    <col min="10752" max="10752" width="13" style="61" customWidth="1"/>
    <col min="10753" max="10753" width="7.5" style="61" customWidth="1"/>
    <col min="10754" max="10754" width="7.625" style="61" customWidth="1"/>
    <col min="10755" max="10759" width="9.75" style="61" customWidth="1"/>
    <col min="10760" max="10760" width="8" style="61" customWidth="1"/>
    <col min="10761" max="10761" width="5.375" style="61" customWidth="1"/>
    <col min="10762" max="10762" width="9" style="61"/>
    <col min="10763" max="10763" width="10.25" style="61" customWidth="1"/>
    <col min="10764" max="10764" width="11.25" style="61" customWidth="1"/>
    <col min="10765" max="10767" width="9.125" style="61" bestFit="1" customWidth="1"/>
    <col min="10768" max="10768" width="9.25" style="61" bestFit="1" customWidth="1"/>
    <col min="10769" max="10769" width="9.125" style="61" bestFit="1" customWidth="1"/>
    <col min="10770" max="10770" width="9.25" style="61" bestFit="1" customWidth="1"/>
    <col min="10771" max="11006" width="9" style="61"/>
    <col min="11007" max="11007" width="2.125" style="61" customWidth="1"/>
    <col min="11008" max="11008" width="13" style="61" customWidth="1"/>
    <col min="11009" max="11009" width="7.5" style="61" customWidth="1"/>
    <col min="11010" max="11010" width="7.625" style="61" customWidth="1"/>
    <col min="11011" max="11015" width="9.75" style="61" customWidth="1"/>
    <col min="11016" max="11016" width="8" style="61" customWidth="1"/>
    <col min="11017" max="11017" width="5.375" style="61" customWidth="1"/>
    <col min="11018" max="11018" width="9" style="61"/>
    <col min="11019" max="11019" width="10.25" style="61" customWidth="1"/>
    <col min="11020" max="11020" width="11.25" style="61" customWidth="1"/>
    <col min="11021" max="11023" width="9.125" style="61" bestFit="1" customWidth="1"/>
    <col min="11024" max="11024" width="9.25" style="61" bestFit="1" customWidth="1"/>
    <col min="11025" max="11025" width="9.125" style="61" bestFit="1" customWidth="1"/>
    <col min="11026" max="11026" width="9.25" style="61" bestFit="1" customWidth="1"/>
    <col min="11027" max="11262" width="9" style="61"/>
    <col min="11263" max="11263" width="2.125" style="61" customWidth="1"/>
    <col min="11264" max="11264" width="13" style="61" customWidth="1"/>
    <col min="11265" max="11265" width="7.5" style="61" customWidth="1"/>
    <col min="11266" max="11266" width="7.625" style="61" customWidth="1"/>
    <col min="11267" max="11271" width="9.75" style="61" customWidth="1"/>
    <col min="11272" max="11272" width="8" style="61" customWidth="1"/>
    <col min="11273" max="11273" width="5.375" style="61" customWidth="1"/>
    <col min="11274" max="11274" width="9" style="61"/>
    <col min="11275" max="11275" width="10.25" style="61" customWidth="1"/>
    <col min="11276" max="11276" width="11.25" style="61" customWidth="1"/>
    <col min="11277" max="11279" width="9.125" style="61" bestFit="1" customWidth="1"/>
    <col min="11280" max="11280" width="9.25" style="61" bestFit="1" customWidth="1"/>
    <col min="11281" max="11281" width="9.125" style="61" bestFit="1" customWidth="1"/>
    <col min="11282" max="11282" width="9.25" style="61" bestFit="1" customWidth="1"/>
    <col min="11283" max="11518" width="9" style="61"/>
    <col min="11519" max="11519" width="2.125" style="61" customWidth="1"/>
    <col min="11520" max="11520" width="13" style="61" customWidth="1"/>
    <col min="11521" max="11521" width="7.5" style="61" customWidth="1"/>
    <col min="11522" max="11522" width="7.625" style="61" customWidth="1"/>
    <col min="11523" max="11527" width="9.75" style="61" customWidth="1"/>
    <col min="11528" max="11528" width="8" style="61" customWidth="1"/>
    <col min="11529" max="11529" width="5.375" style="61" customWidth="1"/>
    <col min="11530" max="11530" width="9" style="61"/>
    <col min="11531" max="11531" width="10.25" style="61" customWidth="1"/>
    <col min="11532" max="11532" width="11.25" style="61" customWidth="1"/>
    <col min="11533" max="11535" width="9.125" style="61" bestFit="1" customWidth="1"/>
    <col min="11536" max="11536" width="9.25" style="61" bestFit="1" customWidth="1"/>
    <col min="11537" max="11537" width="9.125" style="61" bestFit="1" customWidth="1"/>
    <col min="11538" max="11538" width="9.25" style="61" bestFit="1" customWidth="1"/>
    <col min="11539" max="11774" width="9" style="61"/>
    <col min="11775" max="11775" width="2.125" style="61" customWidth="1"/>
    <col min="11776" max="11776" width="13" style="61" customWidth="1"/>
    <col min="11777" max="11777" width="7.5" style="61" customWidth="1"/>
    <col min="11778" max="11778" width="7.625" style="61" customWidth="1"/>
    <col min="11779" max="11783" width="9.75" style="61" customWidth="1"/>
    <col min="11784" max="11784" width="8" style="61" customWidth="1"/>
    <col min="11785" max="11785" width="5.375" style="61" customWidth="1"/>
    <col min="11786" max="11786" width="9" style="61"/>
    <col min="11787" max="11787" width="10.25" style="61" customWidth="1"/>
    <col min="11788" max="11788" width="11.25" style="61" customWidth="1"/>
    <col min="11789" max="11791" width="9.125" style="61" bestFit="1" customWidth="1"/>
    <col min="11792" max="11792" width="9.25" style="61" bestFit="1" customWidth="1"/>
    <col min="11793" max="11793" width="9.125" style="61" bestFit="1" customWidth="1"/>
    <col min="11794" max="11794" width="9.25" style="61" bestFit="1" customWidth="1"/>
    <col min="11795" max="12030" width="9" style="61"/>
    <col min="12031" max="12031" width="2.125" style="61" customWidth="1"/>
    <col min="12032" max="12032" width="13" style="61" customWidth="1"/>
    <col min="12033" max="12033" width="7.5" style="61" customWidth="1"/>
    <col min="12034" max="12034" width="7.625" style="61" customWidth="1"/>
    <col min="12035" max="12039" width="9.75" style="61" customWidth="1"/>
    <col min="12040" max="12040" width="8" style="61" customWidth="1"/>
    <col min="12041" max="12041" width="5.375" style="61" customWidth="1"/>
    <col min="12042" max="12042" width="9" style="61"/>
    <col min="12043" max="12043" width="10.25" style="61" customWidth="1"/>
    <col min="12044" max="12044" width="11.25" style="61" customWidth="1"/>
    <col min="12045" max="12047" width="9.125" style="61" bestFit="1" customWidth="1"/>
    <col min="12048" max="12048" width="9.25" style="61" bestFit="1" customWidth="1"/>
    <col min="12049" max="12049" width="9.125" style="61" bestFit="1" customWidth="1"/>
    <col min="12050" max="12050" width="9.25" style="61" bestFit="1" customWidth="1"/>
    <col min="12051" max="12286" width="9" style="61"/>
    <col min="12287" max="12287" width="2.125" style="61" customWidth="1"/>
    <col min="12288" max="12288" width="13" style="61" customWidth="1"/>
    <col min="12289" max="12289" width="7.5" style="61" customWidth="1"/>
    <col min="12290" max="12290" width="7.625" style="61" customWidth="1"/>
    <col min="12291" max="12295" width="9.75" style="61" customWidth="1"/>
    <col min="12296" max="12296" width="8" style="61" customWidth="1"/>
    <col min="12297" max="12297" width="5.375" style="61" customWidth="1"/>
    <col min="12298" max="12298" width="9" style="61"/>
    <col min="12299" max="12299" width="10.25" style="61" customWidth="1"/>
    <col min="12300" max="12300" width="11.25" style="61" customWidth="1"/>
    <col min="12301" max="12303" width="9.125" style="61" bestFit="1" customWidth="1"/>
    <col min="12304" max="12304" width="9.25" style="61" bestFit="1" customWidth="1"/>
    <col min="12305" max="12305" width="9.125" style="61" bestFit="1" customWidth="1"/>
    <col min="12306" max="12306" width="9.25" style="61" bestFit="1" customWidth="1"/>
    <col min="12307" max="12542" width="9" style="61"/>
    <col min="12543" max="12543" width="2.125" style="61" customWidth="1"/>
    <col min="12544" max="12544" width="13" style="61" customWidth="1"/>
    <col min="12545" max="12545" width="7.5" style="61" customWidth="1"/>
    <col min="12546" max="12546" width="7.625" style="61" customWidth="1"/>
    <col min="12547" max="12551" width="9.75" style="61" customWidth="1"/>
    <col min="12552" max="12552" width="8" style="61" customWidth="1"/>
    <col min="12553" max="12553" width="5.375" style="61" customWidth="1"/>
    <col min="12554" max="12554" width="9" style="61"/>
    <col min="12555" max="12555" width="10.25" style="61" customWidth="1"/>
    <col min="12556" max="12556" width="11.25" style="61" customWidth="1"/>
    <col min="12557" max="12559" width="9.125" style="61" bestFit="1" customWidth="1"/>
    <col min="12560" max="12560" width="9.25" style="61" bestFit="1" customWidth="1"/>
    <col min="12561" max="12561" width="9.125" style="61" bestFit="1" customWidth="1"/>
    <col min="12562" max="12562" width="9.25" style="61" bestFit="1" customWidth="1"/>
    <col min="12563" max="12798" width="9" style="61"/>
    <col min="12799" max="12799" width="2.125" style="61" customWidth="1"/>
    <col min="12800" max="12800" width="13" style="61" customWidth="1"/>
    <col min="12801" max="12801" width="7.5" style="61" customWidth="1"/>
    <col min="12802" max="12802" width="7.625" style="61" customWidth="1"/>
    <col min="12803" max="12807" width="9.75" style="61" customWidth="1"/>
    <col min="12808" max="12808" width="8" style="61" customWidth="1"/>
    <col min="12809" max="12809" width="5.375" style="61" customWidth="1"/>
    <col min="12810" max="12810" width="9" style="61"/>
    <col min="12811" max="12811" width="10.25" style="61" customWidth="1"/>
    <col min="12812" max="12812" width="11.25" style="61" customWidth="1"/>
    <col min="12813" max="12815" width="9.125" style="61" bestFit="1" customWidth="1"/>
    <col min="12816" max="12816" width="9.25" style="61" bestFit="1" customWidth="1"/>
    <col min="12817" max="12817" width="9.125" style="61" bestFit="1" customWidth="1"/>
    <col min="12818" max="12818" width="9.25" style="61" bestFit="1" customWidth="1"/>
    <col min="12819" max="13054" width="9" style="61"/>
    <col min="13055" max="13055" width="2.125" style="61" customWidth="1"/>
    <col min="13056" max="13056" width="13" style="61" customWidth="1"/>
    <col min="13057" max="13057" width="7.5" style="61" customWidth="1"/>
    <col min="13058" max="13058" width="7.625" style="61" customWidth="1"/>
    <col min="13059" max="13063" width="9.75" style="61" customWidth="1"/>
    <col min="13064" max="13064" width="8" style="61" customWidth="1"/>
    <col min="13065" max="13065" width="5.375" style="61" customWidth="1"/>
    <col min="13066" max="13066" width="9" style="61"/>
    <col min="13067" max="13067" width="10.25" style="61" customWidth="1"/>
    <col min="13068" max="13068" width="11.25" style="61" customWidth="1"/>
    <col min="13069" max="13071" width="9.125" style="61" bestFit="1" customWidth="1"/>
    <col min="13072" max="13072" width="9.25" style="61" bestFit="1" customWidth="1"/>
    <col min="13073" max="13073" width="9.125" style="61" bestFit="1" customWidth="1"/>
    <col min="13074" max="13074" width="9.25" style="61" bestFit="1" customWidth="1"/>
    <col min="13075" max="13310" width="9" style="61"/>
    <col min="13311" max="13311" width="2.125" style="61" customWidth="1"/>
    <col min="13312" max="13312" width="13" style="61" customWidth="1"/>
    <col min="13313" max="13313" width="7.5" style="61" customWidth="1"/>
    <col min="13314" max="13314" width="7.625" style="61" customWidth="1"/>
    <col min="13315" max="13319" width="9.75" style="61" customWidth="1"/>
    <col min="13320" max="13320" width="8" style="61" customWidth="1"/>
    <col min="13321" max="13321" width="5.375" style="61" customWidth="1"/>
    <col min="13322" max="13322" width="9" style="61"/>
    <col min="13323" max="13323" width="10.25" style="61" customWidth="1"/>
    <col min="13324" max="13324" width="11.25" style="61" customWidth="1"/>
    <col min="13325" max="13327" width="9.125" style="61" bestFit="1" customWidth="1"/>
    <col min="13328" max="13328" width="9.25" style="61" bestFit="1" customWidth="1"/>
    <col min="13329" max="13329" width="9.125" style="61" bestFit="1" customWidth="1"/>
    <col min="13330" max="13330" width="9.25" style="61" bestFit="1" customWidth="1"/>
    <col min="13331" max="13566" width="9" style="61"/>
    <col min="13567" max="13567" width="2.125" style="61" customWidth="1"/>
    <col min="13568" max="13568" width="13" style="61" customWidth="1"/>
    <col min="13569" max="13569" width="7.5" style="61" customWidth="1"/>
    <col min="13570" max="13570" width="7.625" style="61" customWidth="1"/>
    <col min="13571" max="13575" width="9.75" style="61" customWidth="1"/>
    <col min="13576" max="13576" width="8" style="61" customWidth="1"/>
    <col min="13577" max="13577" width="5.375" style="61" customWidth="1"/>
    <col min="13578" max="13578" width="9" style="61"/>
    <col min="13579" max="13579" width="10.25" style="61" customWidth="1"/>
    <col min="13580" max="13580" width="11.25" style="61" customWidth="1"/>
    <col min="13581" max="13583" width="9.125" style="61" bestFit="1" customWidth="1"/>
    <col min="13584" max="13584" width="9.25" style="61" bestFit="1" customWidth="1"/>
    <col min="13585" max="13585" width="9.125" style="61" bestFit="1" customWidth="1"/>
    <col min="13586" max="13586" width="9.25" style="61" bestFit="1" customWidth="1"/>
    <col min="13587" max="13822" width="9" style="61"/>
    <col min="13823" max="13823" width="2.125" style="61" customWidth="1"/>
    <col min="13824" max="13824" width="13" style="61" customWidth="1"/>
    <col min="13825" max="13825" width="7.5" style="61" customWidth="1"/>
    <col min="13826" max="13826" width="7.625" style="61" customWidth="1"/>
    <col min="13827" max="13831" width="9.75" style="61" customWidth="1"/>
    <col min="13832" max="13832" width="8" style="61" customWidth="1"/>
    <col min="13833" max="13833" width="5.375" style="61" customWidth="1"/>
    <col min="13834" max="13834" width="9" style="61"/>
    <col min="13835" max="13835" width="10.25" style="61" customWidth="1"/>
    <col min="13836" max="13836" width="11.25" style="61" customWidth="1"/>
    <col min="13837" max="13839" width="9.125" style="61" bestFit="1" customWidth="1"/>
    <col min="13840" max="13840" width="9.25" style="61" bestFit="1" customWidth="1"/>
    <col min="13841" max="13841" width="9.125" style="61" bestFit="1" customWidth="1"/>
    <col min="13842" max="13842" width="9.25" style="61" bestFit="1" customWidth="1"/>
    <col min="13843" max="14078" width="9" style="61"/>
    <col min="14079" max="14079" width="2.125" style="61" customWidth="1"/>
    <col min="14080" max="14080" width="13" style="61" customWidth="1"/>
    <col min="14081" max="14081" width="7.5" style="61" customWidth="1"/>
    <col min="14082" max="14082" width="7.625" style="61" customWidth="1"/>
    <col min="14083" max="14087" width="9.75" style="61" customWidth="1"/>
    <col min="14088" max="14088" width="8" style="61" customWidth="1"/>
    <col min="14089" max="14089" width="5.375" style="61" customWidth="1"/>
    <col min="14090" max="14090" width="9" style="61"/>
    <col min="14091" max="14091" width="10.25" style="61" customWidth="1"/>
    <col min="14092" max="14092" width="11.25" style="61" customWidth="1"/>
    <col min="14093" max="14095" width="9.125" style="61" bestFit="1" customWidth="1"/>
    <col min="14096" max="14096" width="9.25" style="61" bestFit="1" customWidth="1"/>
    <col min="14097" max="14097" width="9.125" style="61" bestFit="1" customWidth="1"/>
    <col min="14098" max="14098" width="9.25" style="61" bestFit="1" customWidth="1"/>
    <col min="14099" max="14334" width="9" style="61"/>
    <col min="14335" max="14335" width="2.125" style="61" customWidth="1"/>
    <col min="14336" max="14336" width="13" style="61" customWidth="1"/>
    <col min="14337" max="14337" width="7.5" style="61" customWidth="1"/>
    <col min="14338" max="14338" width="7.625" style="61" customWidth="1"/>
    <col min="14339" max="14343" width="9.75" style="61" customWidth="1"/>
    <col min="14344" max="14344" width="8" style="61" customWidth="1"/>
    <col min="14345" max="14345" width="5.375" style="61" customWidth="1"/>
    <col min="14346" max="14346" width="9" style="61"/>
    <col min="14347" max="14347" width="10.25" style="61" customWidth="1"/>
    <col min="14348" max="14348" width="11.25" style="61" customWidth="1"/>
    <col min="14349" max="14351" width="9.125" style="61" bestFit="1" customWidth="1"/>
    <col min="14352" max="14352" width="9.25" style="61" bestFit="1" customWidth="1"/>
    <col min="14353" max="14353" width="9.125" style="61" bestFit="1" customWidth="1"/>
    <col min="14354" max="14354" width="9.25" style="61" bestFit="1" customWidth="1"/>
    <col min="14355" max="14590" width="9" style="61"/>
    <col min="14591" max="14591" width="2.125" style="61" customWidth="1"/>
    <col min="14592" max="14592" width="13" style="61" customWidth="1"/>
    <col min="14593" max="14593" width="7.5" style="61" customWidth="1"/>
    <col min="14594" max="14594" width="7.625" style="61" customWidth="1"/>
    <col min="14595" max="14599" width="9.75" style="61" customWidth="1"/>
    <col min="14600" max="14600" width="8" style="61" customWidth="1"/>
    <col min="14601" max="14601" width="5.375" style="61" customWidth="1"/>
    <col min="14602" max="14602" width="9" style="61"/>
    <col min="14603" max="14603" width="10.25" style="61" customWidth="1"/>
    <col min="14604" max="14604" width="11.25" style="61" customWidth="1"/>
    <col min="14605" max="14607" width="9.125" style="61" bestFit="1" customWidth="1"/>
    <col min="14608" max="14608" width="9.25" style="61" bestFit="1" customWidth="1"/>
    <col min="14609" max="14609" width="9.125" style="61" bestFit="1" customWidth="1"/>
    <col min="14610" max="14610" width="9.25" style="61" bestFit="1" customWidth="1"/>
    <col min="14611" max="14846" width="9" style="61"/>
    <col min="14847" max="14847" width="2.125" style="61" customWidth="1"/>
    <col min="14848" max="14848" width="13" style="61" customWidth="1"/>
    <col min="14849" max="14849" width="7.5" style="61" customWidth="1"/>
    <col min="14850" max="14850" width="7.625" style="61" customWidth="1"/>
    <col min="14851" max="14855" width="9.75" style="61" customWidth="1"/>
    <col min="14856" max="14856" width="8" style="61" customWidth="1"/>
    <col min="14857" max="14857" width="5.375" style="61" customWidth="1"/>
    <col min="14858" max="14858" width="9" style="61"/>
    <col min="14859" max="14859" width="10.25" style="61" customWidth="1"/>
    <col min="14860" max="14860" width="11.25" style="61" customWidth="1"/>
    <col min="14861" max="14863" width="9.125" style="61" bestFit="1" customWidth="1"/>
    <col min="14864" max="14864" width="9.25" style="61" bestFit="1" customWidth="1"/>
    <col min="14865" max="14865" width="9.125" style="61" bestFit="1" customWidth="1"/>
    <col min="14866" max="14866" width="9.25" style="61" bestFit="1" customWidth="1"/>
    <col min="14867" max="15102" width="9" style="61"/>
    <col min="15103" max="15103" width="2.125" style="61" customWidth="1"/>
    <col min="15104" max="15104" width="13" style="61" customWidth="1"/>
    <col min="15105" max="15105" width="7.5" style="61" customWidth="1"/>
    <col min="15106" max="15106" width="7.625" style="61" customWidth="1"/>
    <col min="15107" max="15111" width="9.75" style="61" customWidth="1"/>
    <col min="15112" max="15112" width="8" style="61" customWidth="1"/>
    <col min="15113" max="15113" width="5.375" style="61" customWidth="1"/>
    <col min="15114" max="15114" width="9" style="61"/>
    <col min="15115" max="15115" width="10.25" style="61" customWidth="1"/>
    <col min="15116" max="15116" width="11.25" style="61" customWidth="1"/>
    <col min="15117" max="15119" width="9.125" style="61" bestFit="1" customWidth="1"/>
    <col min="15120" max="15120" width="9.25" style="61" bestFit="1" customWidth="1"/>
    <col min="15121" max="15121" width="9.125" style="61" bestFit="1" customWidth="1"/>
    <col min="15122" max="15122" width="9.25" style="61" bestFit="1" customWidth="1"/>
    <col min="15123" max="15358" width="9" style="61"/>
    <col min="15359" max="15359" width="2.125" style="61" customWidth="1"/>
    <col min="15360" max="15360" width="13" style="61" customWidth="1"/>
    <col min="15361" max="15361" width="7.5" style="61" customWidth="1"/>
    <col min="15362" max="15362" width="7.625" style="61" customWidth="1"/>
    <col min="15363" max="15367" width="9.75" style="61" customWidth="1"/>
    <col min="15368" max="15368" width="8" style="61" customWidth="1"/>
    <col min="15369" max="15369" width="5.375" style="61" customWidth="1"/>
    <col min="15370" max="15370" width="9" style="61"/>
    <col min="15371" max="15371" width="10.25" style="61" customWidth="1"/>
    <col min="15372" max="15372" width="11.25" style="61" customWidth="1"/>
    <col min="15373" max="15375" width="9.125" style="61" bestFit="1" customWidth="1"/>
    <col min="15376" max="15376" width="9.25" style="61" bestFit="1" customWidth="1"/>
    <col min="15377" max="15377" width="9.125" style="61" bestFit="1" customWidth="1"/>
    <col min="15378" max="15378" width="9.25" style="61" bestFit="1" customWidth="1"/>
    <col min="15379" max="15614" width="9" style="61"/>
    <col min="15615" max="15615" width="2.125" style="61" customWidth="1"/>
    <col min="15616" max="15616" width="13" style="61" customWidth="1"/>
    <col min="15617" max="15617" width="7.5" style="61" customWidth="1"/>
    <col min="15618" max="15618" width="7.625" style="61" customWidth="1"/>
    <col min="15619" max="15623" width="9.75" style="61" customWidth="1"/>
    <col min="15624" max="15624" width="8" style="61" customWidth="1"/>
    <col min="15625" max="15625" width="5.375" style="61" customWidth="1"/>
    <col min="15626" max="15626" width="9" style="61"/>
    <col min="15627" max="15627" width="10.25" style="61" customWidth="1"/>
    <col min="15628" max="15628" width="11.25" style="61" customWidth="1"/>
    <col min="15629" max="15631" width="9.125" style="61" bestFit="1" customWidth="1"/>
    <col min="15632" max="15632" width="9.25" style="61" bestFit="1" customWidth="1"/>
    <col min="15633" max="15633" width="9.125" style="61" bestFit="1" customWidth="1"/>
    <col min="15634" max="15634" width="9.25" style="61" bestFit="1" customWidth="1"/>
    <col min="15635" max="15870" width="9" style="61"/>
    <col min="15871" max="15871" width="2.125" style="61" customWidth="1"/>
    <col min="15872" max="15872" width="13" style="61" customWidth="1"/>
    <col min="15873" max="15873" width="7.5" style="61" customWidth="1"/>
    <col min="15874" max="15874" width="7.625" style="61" customWidth="1"/>
    <col min="15875" max="15879" width="9.75" style="61" customWidth="1"/>
    <col min="15880" max="15880" width="8" style="61" customWidth="1"/>
    <col min="15881" max="15881" width="5.375" style="61" customWidth="1"/>
    <col min="15882" max="15882" width="9" style="61"/>
    <col min="15883" max="15883" width="10.25" style="61" customWidth="1"/>
    <col min="15884" max="15884" width="11.25" style="61" customWidth="1"/>
    <col min="15885" max="15887" width="9.125" style="61" bestFit="1" customWidth="1"/>
    <col min="15888" max="15888" width="9.25" style="61" bestFit="1" customWidth="1"/>
    <col min="15889" max="15889" width="9.125" style="61" bestFit="1" customWidth="1"/>
    <col min="15890" max="15890" width="9.25" style="61" bestFit="1" customWidth="1"/>
    <col min="15891" max="16126" width="9" style="61"/>
    <col min="16127" max="16127" width="2.125" style="61" customWidth="1"/>
    <col min="16128" max="16128" width="13" style="61" customWidth="1"/>
    <col min="16129" max="16129" width="7.5" style="61" customWidth="1"/>
    <col min="16130" max="16130" width="7.625" style="61" customWidth="1"/>
    <col min="16131" max="16135" width="9.75" style="61" customWidth="1"/>
    <col min="16136" max="16136" width="8" style="61" customWidth="1"/>
    <col min="16137" max="16137" width="5.375" style="61" customWidth="1"/>
    <col min="16138" max="16138" width="9" style="61"/>
    <col min="16139" max="16139" width="10.25" style="61" customWidth="1"/>
    <col min="16140" max="16140" width="11.25" style="61" customWidth="1"/>
    <col min="16141" max="16143" width="9.125" style="61" bestFit="1" customWidth="1"/>
    <col min="16144" max="16144" width="9.25" style="61" bestFit="1" customWidth="1"/>
    <col min="16145" max="16145" width="9.125" style="61" bestFit="1" customWidth="1"/>
    <col min="16146" max="16146" width="9.25" style="61" bestFit="1" customWidth="1"/>
    <col min="16147" max="16384" width="9" style="61"/>
  </cols>
  <sheetData>
    <row r="1" spans="2:19" ht="15.75" customHeight="1">
      <c r="J1" s="64"/>
      <c r="K1" s="64"/>
      <c r="L1" s="64"/>
      <c r="M1" s="64"/>
      <c r="N1" s="64"/>
      <c r="O1" s="64"/>
      <c r="P1" s="64"/>
      <c r="Q1" s="64"/>
      <c r="R1" s="64"/>
    </row>
    <row r="2" spans="2:19" ht="15.75" customHeight="1" thickBot="1"/>
    <row r="3" spans="2:19" ht="15.75" customHeight="1" thickBot="1">
      <c r="B3" s="65" t="s">
        <v>104</v>
      </c>
      <c r="C3" s="66">
        <v>2800</v>
      </c>
      <c r="D3" s="67" t="s">
        <v>105</v>
      </c>
      <c r="E3" s="68"/>
      <c r="F3" s="69"/>
      <c r="G3" s="68"/>
      <c r="H3" s="207" t="s">
        <v>118</v>
      </c>
      <c r="I3" s="205"/>
      <c r="J3" s="208" t="s">
        <v>106</v>
      </c>
      <c r="K3" s="209"/>
      <c r="L3" s="210" t="s">
        <v>119</v>
      </c>
      <c r="M3" s="211"/>
      <c r="N3" s="214" t="s">
        <v>107</v>
      </c>
      <c r="O3" s="215"/>
      <c r="P3" s="210" t="s">
        <v>119</v>
      </c>
      <c r="Q3" s="211"/>
    </row>
    <row r="4" spans="2:19" ht="15.75" customHeight="1" thickBot="1">
      <c r="B4" s="71"/>
      <c r="C4" s="71"/>
      <c r="D4" s="72" t="s">
        <v>108</v>
      </c>
      <c r="E4" s="68"/>
      <c r="F4" s="69"/>
      <c r="G4" s="68"/>
      <c r="H4" s="70" t="s">
        <v>109</v>
      </c>
      <c r="I4" s="70" t="s">
        <v>110</v>
      </c>
      <c r="J4" s="73" t="s">
        <v>111</v>
      </c>
      <c r="K4" s="74" t="s">
        <v>112</v>
      </c>
      <c r="L4" s="212"/>
      <c r="M4" s="213"/>
      <c r="N4" s="75" t="s">
        <v>111</v>
      </c>
      <c r="O4" s="76" t="s">
        <v>112</v>
      </c>
      <c r="P4" s="212"/>
      <c r="Q4" s="213"/>
    </row>
    <row r="5" spans="2:19" ht="15.75" customHeight="1" thickBot="1">
      <c r="B5" s="77" t="s">
        <v>120</v>
      </c>
      <c r="C5" s="78">
        <f>SQRT(C3*1000000/(3*900*PI()))</f>
        <v>574.54254953626776</v>
      </c>
      <c r="D5" s="67" t="s">
        <v>113</v>
      </c>
      <c r="E5" s="68"/>
      <c r="F5" s="69"/>
      <c r="G5" s="68"/>
      <c r="H5" s="79">
        <v>15</v>
      </c>
      <c r="I5" s="79">
        <v>21.7</v>
      </c>
      <c r="J5" s="79">
        <v>2.8</v>
      </c>
      <c r="K5" s="80">
        <f>I5-(J5*2)</f>
        <v>16.100000000000001</v>
      </c>
      <c r="L5" s="81">
        <f t="shared" ref="L5:L31" si="0">$C$3/((K5/(1000*2))*(K5/(1000*2))*PI()*3600)</f>
        <v>3820.4445186640341</v>
      </c>
      <c r="M5" s="82" t="s">
        <v>114</v>
      </c>
      <c r="N5" s="83">
        <v>3.7</v>
      </c>
      <c r="O5" s="80">
        <f t="shared" ref="O5:O31" si="1">I5-(N5*2)</f>
        <v>14.299999999999999</v>
      </c>
      <c r="P5" s="84">
        <f t="shared" ref="P5:P31" si="2">$C$3/((O5/(1000*2))*(O5/(1000*2))*PI()*3600)</f>
        <v>4842.7669992806723</v>
      </c>
      <c r="Q5" s="85" t="s">
        <v>114</v>
      </c>
      <c r="R5" s="86"/>
    </row>
    <row r="6" spans="2:19" ht="15.75" customHeight="1">
      <c r="C6" s="204"/>
      <c r="D6" s="204"/>
      <c r="E6" s="68"/>
      <c r="F6" s="69"/>
      <c r="G6" s="68"/>
      <c r="H6" s="79">
        <v>20</v>
      </c>
      <c r="I6" s="79">
        <v>27.2</v>
      </c>
      <c r="J6" s="79">
        <v>2.9</v>
      </c>
      <c r="K6" s="80">
        <f t="shared" ref="K6:K31" si="3">I6-(J6*2)</f>
        <v>21.4</v>
      </c>
      <c r="L6" s="87">
        <f t="shared" si="0"/>
        <v>2162.4103058845849</v>
      </c>
      <c r="M6" s="88" t="s">
        <v>114</v>
      </c>
      <c r="N6" s="83">
        <v>3.9</v>
      </c>
      <c r="O6" s="80">
        <f t="shared" si="1"/>
        <v>19.399999999999999</v>
      </c>
      <c r="P6" s="89">
        <f t="shared" si="2"/>
        <v>2631.2504614807754</v>
      </c>
      <c r="Q6" s="90" t="s">
        <v>114</v>
      </c>
      <c r="R6" s="86"/>
      <c r="S6" s="61">
        <f>SQRT(C3*1000000/(3*900*PI()))</f>
        <v>574.54254953626776</v>
      </c>
    </row>
    <row r="7" spans="2:19" ht="15.75" customHeight="1">
      <c r="B7" s="91"/>
      <c r="C7" s="91"/>
      <c r="D7" s="91" t="s">
        <v>117</v>
      </c>
      <c r="E7" s="91"/>
      <c r="F7" s="91"/>
      <c r="G7" s="92"/>
      <c r="H7" s="79">
        <v>25</v>
      </c>
      <c r="I7" s="79">
        <v>34</v>
      </c>
      <c r="J7" s="79">
        <v>3.4</v>
      </c>
      <c r="K7" s="80">
        <f t="shared" si="3"/>
        <v>27.2</v>
      </c>
      <c r="L7" s="87">
        <f t="shared" si="0"/>
        <v>1338.5291734468321</v>
      </c>
      <c r="M7" s="88" t="s">
        <v>114</v>
      </c>
      <c r="N7" s="83">
        <v>4.5</v>
      </c>
      <c r="O7" s="80">
        <f t="shared" si="1"/>
        <v>25</v>
      </c>
      <c r="P7" s="89">
        <f t="shared" si="2"/>
        <v>1584.4758778926468</v>
      </c>
      <c r="Q7" s="90" t="s">
        <v>114</v>
      </c>
      <c r="R7" s="86"/>
    </row>
    <row r="8" spans="2:19" ht="15.75" customHeight="1">
      <c r="B8" s="205" t="s">
        <v>104</v>
      </c>
      <c r="C8" s="206"/>
      <c r="D8" s="205" t="s">
        <v>116</v>
      </c>
      <c r="E8" s="206"/>
      <c r="F8" s="205" t="s">
        <v>121</v>
      </c>
      <c r="G8" s="206"/>
      <c r="H8" s="79">
        <v>32</v>
      </c>
      <c r="I8" s="79">
        <v>42.7</v>
      </c>
      <c r="J8" s="79">
        <v>3.6</v>
      </c>
      <c r="K8" s="80">
        <f t="shared" si="3"/>
        <v>35.5</v>
      </c>
      <c r="L8" s="87">
        <f t="shared" si="0"/>
        <v>785.79442466407818</v>
      </c>
      <c r="M8" s="88" t="s">
        <v>114</v>
      </c>
      <c r="N8" s="83">
        <v>4.9000000000000004</v>
      </c>
      <c r="O8" s="80">
        <f t="shared" si="1"/>
        <v>32.900000000000006</v>
      </c>
      <c r="P8" s="89">
        <f t="shared" si="2"/>
        <v>914.90047549718122</v>
      </c>
      <c r="Q8" s="90" t="s">
        <v>114</v>
      </c>
      <c r="R8" s="86"/>
    </row>
    <row r="9" spans="2:19" ht="15.75" customHeight="1">
      <c r="B9" s="93">
        <v>2500</v>
      </c>
      <c r="C9" s="94" t="s">
        <v>105</v>
      </c>
      <c r="D9" s="93">
        <f>B9*0.01*0.3</f>
        <v>7.5</v>
      </c>
      <c r="E9" s="94" t="s">
        <v>105</v>
      </c>
      <c r="F9" s="95">
        <f t="shared" ref="F9:F28" si="4">SQRT(D9*1000000/(3*900*PI()))</f>
        <v>29.735401935879519</v>
      </c>
      <c r="G9" s="94" t="s">
        <v>113</v>
      </c>
      <c r="H9" s="79">
        <v>40</v>
      </c>
      <c r="I9" s="79">
        <v>48.6</v>
      </c>
      <c r="J9" s="79">
        <v>3.7</v>
      </c>
      <c r="K9" s="80">
        <f t="shared" si="3"/>
        <v>41.2</v>
      </c>
      <c r="L9" s="87">
        <f t="shared" si="0"/>
        <v>583.40643774325122</v>
      </c>
      <c r="M9" s="88" t="s">
        <v>114</v>
      </c>
      <c r="N9" s="83">
        <v>5.0999999999999996</v>
      </c>
      <c r="O9" s="80">
        <f t="shared" si="1"/>
        <v>38.400000000000006</v>
      </c>
      <c r="P9" s="89">
        <f t="shared" si="2"/>
        <v>671.58842209398347</v>
      </c>
      <c r="Q9" s="90" t="s">
        <v>114</v>
      </c>
      <c r="R9" s="86"/>
    </row>
    <row r="10" spans="2:19" ht="15.75" customHeight="1">
      <c r="B10" s="96">
        <v>250</v>
      </c>
      <c r="C10" s="97" t="s">
        <v>105</v>
      </c>
      <c r="D10" s="98">
        <f t="shared" ref="D10:D28" si="5">B10*0.01*0.3</f>
        <v>0.75</v>
      </c>
      <c r="E10" s="97" t="s">
        <v>105</v>
      </c>
      <c r="F10" s="99">
        <f t="shared" si="4"/>
        <v>9.4031597257959376</v>
      </c>
      <c r="G10" s="97" t="s">
        <v>113</v>
      </c>
      <c r="H10" s="79">
        <v>50</v>
      </c>
      <c r="I10" s="79">
        <v>60.5</v>
      </c>
      <c r="J10" s="79">
        <v>3.9</v>
      </c>
      <c r="K10" s="80">
        <f t="shared" si="3"/>
        <v>52.7</v>
      </c>
      <c r="L10" s="87">
        <f>$C$3/((K10/(1000*2))*(K10/(1000*2))*PI()*3600)</f>
        <v>356.56968616273565</v>
      </c>
      <c r="M10" s="88" t="s">
        <v>114</v>
      </c>
      <c r="N10" s="83">
        <v>5.5</v>
      </c>
      <c r="O10" s="80">
        <f t="shared" si="1"/>
        <v>49.5</v>
      </c>
      <c r="P10" s="89">
        <f t="shared" si="2"/>
        <v>404.16178907576955</v>
      </c>
      <c r="Q10" s="90" t="s">
        <v>114</v>
      </c>
      <c r="R10" s="86"/>
    </row>
    <row r="11" spans="2:19" ht="15.75" customHeight="1">
      <c r="B11" s="96">
        <v>300</v>
      </c>
      <c r="C11" s="97" t="s">
        <v>105</v>
      </c>
      <c r="D11" s="98">
        <f t="shared" si="5"/>
        <v>0.89999999999999991</v>
      </c>
      <c r="E11" s="97" t="s">
        <v>105</v>
      </c>
      <c r="F11" s="99">
        <f t="shared" si="4"/>
        <v>10.300645387285055</v>
      </c>
      <c r="G11" s="97" t="s">
        <v>113</v>
      </c>
      <c r="H11" s="79">
        <v>65</v>
      </c>
      <c r="I11" s="79">
        <v>76.3</v>
      </c>
      <c r="J11" s="79">
        <v>5.2</v>
      </c>
      <c r="K11" s="80">
        <f t="shared" si="3"/>
        <v>65.899999999999991</v>
      </c>
      <c r="L11" s="87">
        <f t="shared" si="0"/>
        <v>228.03148737405152</v>
      </c>
      <c r="M11" s="88" t="s">
        <v>114</v>
      </c>
      <c r="N11" s="83">
        <v>7</v>
      </c>
      <c r="O11" s="80">
        <f t="shared" si="1"/>
        <v>62.3</v>
      </c>
      <c r="P11" s="89">
        <f t="shared" si="2"/>
        <v>255.14646513991596</v>
      </c>
      <c r="Q11" s="90" t="s">
        <v>114</v>
      </c>
      <c r="R11" s="86"/>
    </row>
    <row r="12" spans="2:19" ht="15.75" customHeight="1">
      <c r="B12" s="96">
        <v>500</v>
      </c>
      <c r="C12" s="97" t="s">
        <v>105</v>
      </c>
      <c r="D12" s="98">
        <f t="shared" si="5"/>
        <v>1.5</v>
      </c>
      <c r="E12" s="97" t="s">
        <v>105</v>
      </c>
      <c r="F12" s="99">
        <f t="shared" si="4"/>
        <v>13.29807601338109</v>
      </c>
      <c r="G12" s="97" t="s">
        <v>113</v>
      </c>
      <c r="H12" s="79">
        <v>80</v>
      </c>
      <c r="I12" s="79">
        <v>89.1</v>
      </c>
      <c r="J12" s="79">
        <v>5.5</v>
      </c>
      <c r="K12" s="80">
        <f t="shared" si="3"/>
        <v>78.099999999999994</v>
      </c>
      <c r="L12" s="87">
        <f t="shared" si="0"/>
        <v>162.35421997191702</v>
      </c>
      <c r="M12" s="88" t="s">
        <v>114</v>
      </c>
      <c r="N12" s="83">
        <v>7.6</v>
      </c>
      <c r="O12" s="80">
        <f t="shared" si="1"/>
        <v>73.899999999999991</v>
      </c>
      <c r="P12" s="89">
        <f t="shared" si="2"/>
        <v>181.33296900923136</v>
      </c>
      <c r="Q12" s="90" t="s">
        <v>114</v>
      </c>
      <c r="R12" s="86"/>
    </row>
    <row r="13" spans="2:19" ht="15.75" customHeight="1">
      <c r="B13" s="96">
        <v>600</v>
      </c>
      <c r="C13" s="97" t="s">
        <v>105</v>
      </c>
      <c r="D13" s="98">
        <f t="shared" si="5"/>
        <v>1.7999999999999998</v>
      </c>
      <c r="E13" s="97" t="s">
        <v>105</v>
      </c>
      <c r="F13" s="99">
        <f t="shared" si="4"/>
        <v>14.567312407894386</v>
      </c>
      <c r="G13" s="97" t="s">
        <v>113</v>
      </c>
      <c r="H13" s="79">
        <v>100</v>
      </c>
      <c r="I13" s="79">
        <v>114.3</v>
      </c>
      <c r="J13" s="79">
        <v>6</v>
      </c>
      <c r="K13" s="80">
        <f t="shared" si="3"/>
        <v>102.3</v>
      </c>
      <c r="L13" s="87">
        <f t="shared" si="0"/>
        <v>94.626849679550617</v>
      </c>
      <c r="M13" s="88" t="s">
        <v>114</v>
      </c>
      <c r="N13" s="83">
        <v>8.6</v>
      </c>
      <c r="O13" s="80">
        <f t="shared" si="1"/>
        <v>97.1</v>
      </c>
      <c r="P13" s="89">
        <f t="shared" si="2"/>
        <v>105.03334323421494</v>
      </c>
      <c r="Q13" s="90" t="s">
        <v>114</v>
      </c>
      <c r="R13" s="86"/>
    </row>
    <row r="14" spans="2:19" ht="15.75" customHeight="1">
      <c r="B14" s="96">
        <v>1000</v>
      </c>
      <c r="C14" s="97" t="s">
        <v>105</v>
      </c>
      <c r="D14" s="98">
        <f t="shared" si="5"/>
        <v>3</v>
      </c>
      <c r="E14" s="97" t="s">
        <v>105</v>
      </c>
      <c r="F14" s="99">
        <f t="shared" si="4"/>
        <v>18.806319451591875</v>
      </c>
      <c r="G14" s="97" t="s">
        <v>113</v>
      </c>
      <c r="H14" s="79">
        <v>125</v>
      </c>
      <c r="I14" s="79">
        <v>139.80000000000001</v>
      </c>
      <c r="J14" s="79">
        <v>6.6</v>
      </c>
      <c r="K14" s="80">
        <f t="shared" si="3"/>
        <v>126.60000000000001</v>
      </c>
      <c r="L14" s="87">
        <f t="shared" si="0"/>
        <v>61.787160596054811</v>
      </c>
      <c r="M14" s="88" t="s">
        <v>114</v>
      </c>
      <c r="N14" s="83">
        <v>9.5</v>
      </c>
      <c r="O14" s="80">
        <f t="shared" si="1"/>
        <v>120.80000000000001</v>
      </c>
      <c r="P14" s="89">
        <f t="shared" si="2"/>
        <v>67.862800951911666</v>
      </c>
      <c r="Q14" s="90" t="s">
        <v>114</v>
      </c>
      <c r="R14" s="86"/>
    </row>
    <row r="15" spans="2:19" ht="15.75" customHeight="1">
      <c r="B15" s="96">
        <v>1200</v>
      </c>
      <c r="C15" s="97" t="s">
        <v>105</v>
      </c>
      <c r="D15" s="98">
        <f t="shared" si="5"/>
        <v>3.5999999999999996</v>
      </c>
      <c r="E15" s="97" t="s">
        <v>105</v>
      </c>
      <c r="F15" s="99">
        <f t="shared" si="4"/>
        <v>20.60129077457011</v>
      </c>
      <c r="G15" s="97" t="s">
        <v>113</v>
      </c>
      <c r="H15" s="79">
        <v>150</v>
      </c>
      <c r="I15" s="79">
        <v>165.2</v>
      </c>
      <c r="J15" s="79">
        <v>7.1</v>
      </c>
      <c r="K15" s="80">
        <f t="shared" si="3"/>
        <v>151</v>
      </c>
      <c r="L15" s="87">
        <f t="shared" si="0"/>
        <v>43.432192609223478</v>
      </c>
      <c r="M15" s="88" t="s">
        <v>114</v>
      </c>
      <c r="N15" s="83">
        <v>11</v>
      </c>
      <c r="O15" s="80">
        <f t="shared" si="1"/>
        <v>143.19999999999999</v>
      </c>
      <c r="P15" s="89">
        <f t="shared" si="2"/>
        <v>48.292491635858376</v>
      </c>
      <c r="Q15" s="90" t="s">
        <v>114</v>
      </c>
      <c r="R15" s="86"/>
    </row>
    <row r="16" spans="2:19" ht="15.75" customHeight="1">
      <c r="B16" s="96">
        <v>1500</v>
      </c>
      <c r="C16" s="97" t="s">
        <v>105</v>
      </c>
      <c r="D16" s="98">
        <f t="shared" si="5"/>
        <v>4.5</v>
      </c>
      <c r="E16" s="97" t="s">
        <v>105</v>
      </c>
      <c r="F16" s="99">
        <f t="shared" si="4"/>
        <v>23.03294329808903</v>
      </c>
      <c r="G16" s="97" t="s">
        <v>113</v>
      </c>
      <c r="H16" s="79">
        <v>200</v>
      </c>
      <c r="I16" s="79">
        <v>216.3</v>
      </c>
      <c r="J16" s="79">
        <v>8.1999999999999993</v>
      </c>
      <c r="K16" s="80">
        <f t="shared" si="3"/>
        <v>199.9</v>
      </c>
      <c r="L16" s="87">
        <f>$C$3/((K16/(1000*2))*(K16/(1000*2))*PI()*3600)</f>
        <v>24.782211608127842</v>
      </c>
      <c r="M16" s="88" t="s">
        <v>114</v>
      </c>
      <c r="N16" s="83">
        <v>12.7</v>
      </c>
      <c r="O16" s="80">
        <f t="shared" si="1"/>
        <v>190.9</v>
      </c>
      <c r="P16" s="89">
        <f t="shared" si="2"/>
        <v>27.174013850274008</v>
      </c>
      <c r="Q16" s="90" t="s">
        <v>114</v>
      </c>
      <c r="R16" s="86"/>
    </row>
    <row r="17" spans="2:18" ht="15.75" customHeight="1">
      <c r="B17" s="96">
        <v>1800</v>
      </c>
      <c r="C17" s="97" t="s">
        <v>105</v>
      </c>
      <c r="D17" s="98">
        <f t="shared" si="5"/>
        <v>5.3999999999999995</v>
      </c>
      <c r="E17" s="97" t="s">
        <v>105</v>
      </c>
      <c r="F17" s="99">
        <f t="shared" si="4"/>
        <v>25.231325220201597</v>
      </c>
      <c r="G17" s="97" t="s">
        <v>113</v>
      </c>
      <c r="H17" s="79">
        <v>250</v>
      </c>
      <c r="I17" s="79">
        <v>267.39999999999998</v>
      </c>
      <c r="J17" s="79">
        <v>9.3000000000000007</v>
      </c>
      <c r="K17" s="80">
        <f t="shared" si="3"/>
        <v>248.79999999999998</v>
      </c>
      <c r="L17" s="87">
        <f t="shared" si="0"/>
        <v>15.997970704444105</v>
      </c>
      <c r="M17" s="88" t="s">
        <v>114</v>
      </c>
      <c r="N17" s="83">
        <v>12.7</v>
      </c>
      <c r="O17" s="80">
        <f t="shared" si="1"/>
        <v>241.99999999999997</v>
      </c>
      <c r="P17" s="89">
        <f t="shared" si="2"/>
        <v>16.909661629719704</v>
      </c>
      <c r="Q17" s="90" t="s">
        <v>114</v>
      </c>
      <c r="R17" s="86"/>
    </row>
    <row r="18" spans="2:18" ht="15.75" customHeight="1">
      <c r="B18" s="96">
        <v>2000</v>
      </c>
      <c r="C18" s="97" t="s">
        <v>105</v>
      </c>
      <c r="D18" s="98">
        <f t="shared" si="5"/>
        <v>6</v>
      </c>
      <c r="E18" s="97" t="s">
        <v>105</v>
      </c>
      <c r="F18" s="99">
        <f t="shared" si="4"/>
        <v>26.59615202676218</v>
      </c>
      <c r="G18" s="97" t="s">
        <v>113</v>
      </c>
      <c r="H18" s="79">
        <v>300</v>
      </c>
      <c r="I18" s="79">
        <v>318.5</v>
      </c>
      <c r="J18" s="79">
        <v>9.5</v>
      </c>
      <c r="K18" s="80">
        <f t="shared" si="3"/>
        <v>299.5</v>
      </c>
      <c r="L18" s="87">
        <f t="shared" si="0"/>
        <v>11.040074288342613</v>
      </c>
      <c r="M18" s="88" t="s">
        <v>114</v>
      </c>
      <c r="N18" s="83">
        <v>12.7</v>
      </c>
      <c r="O18" s="80">
        <f t="shared" si="1"/>
        <v>293.10000000000002</v>
      </c>
      <c r="P18" s="89">
        <f t="shared" si="2"/>
        <v>11.527470310056399</v>
      </c>
      <c r="Q18" s="90" t="s">
        <v>114</v>
      </c>
      <c r="R18" s="86"/>
    </row>
    <row r="19" spans="2:18" ht="15.75" customHeight="1">
      <c r="B19" s="96">
        <v>2400</v>
      </c>
      <c r="C19" s="97" t="s">
        <v>105</v>
      </c>
      <c r="D19" s="98">
        <f t="shared" si="5"/>
        <v>7.1999999999999993</v>
      </c>
      <c r="E19" s="97" t="s">
        <v>105</v>
      </c>
      <c r="F19" s="99">
        <f t="shared" si="4"/>
        <v>29.134624815788772</v>
      </c>
      <c r="G19" s="97" t="s">
        <v>113</v>
      </c>
      <c r="H19" s="79">
        <v>350</v>
      </c>
      <c r="I19" s="79">
        <v>355.6</v>
      </c>
      <c r="J19" s="79">
        <v>9.5</v>
      </c>
      <c r="K19" s="80">
        <f t="shared" si="3"/>
        <v>336.6</v>
      </c>
      <c r="L19" s="87">
        <f t="shared" si="0"/>
        <v>8.7405231201507263</v>
      </c>
      <c r="M19" s="88" t="s">
        <v>114</v>
      </c>
      <c r="N19" s="83">
        <v>12.7</v>
      </c>
      <c r="O19" s="80">
        <f t="shared" si="1"/>
        <v>330.20000000000005</v>
      </c>
      <c r="P19" s="89">
        <f t="shared" si="2"/>
        <v>9.0826276724062396</v>
      </c>
      <c r="Q19" s="90" t="s">
        <v>114</v>
      </c>
      <c r="R19" s="86"/>
    </row>
    <row r="20" spans="2:18" ht="15.75" customHeight="1">
      <c r="B20" s="96">
        <v>2600</v>
      </c>
      <c r="C20" s="97" t="s">
        <v>105</v>
      </c>
      <c r="D20" s="98">
        <f>B20*0.01*0.3</f>
        <v>7.8</v>
      </c>
      <c r="E20" s="97" t="s">
        <v>105</v>
      </c>
      <c r="F20" s="99">
        <f t="shared" si="4"/>
        <v>30.324278943114866</v>
      </c>
      <c r="G20" s="97" t="s">
        <v>113</v>
      </c>
      <c r="H20" s="79">
        <v>400</v>
      </c>
      <c r="I20" s="79">
        <v>406.4</v>
      </c>
      <c r="J20" s="79">
        <v>9.5</v>
      </c>
      <c r="K20" s="80">
        <f t="shared" si="3"/>
        <v>387.4</v>
      </c>
      <c r="L20" s="87">
        <f t="shared" si="0"/>
        <v>6.598518162616112</v>
      </c>
      <c r="M20" s="88" t="s">
        <v>114</v>
      </c>
      <c r="N20" s="83">
        <v>12.7</v>
      </c>
      <c r="O20" s="80">
        <f t="shared" si="1"/>
        <v>381</v>
      </c>
      <c r="P20" s="89">
        <f t="shared" si="2"/>
        <v>6.8220625628295775</v>
      </c>
      <c r="Q20" s="90" t="s">
        <v>114</v>
      </c>
      <c r="R20" s="86"/>
    </row>
    <row r="21" spans="2:18" ht="15.75" customHeight="1">
      <c r="B21" s="96">
        <v>3000</v>
      </c>
      <c r="C21" s="97" t="s">
        <v>105</v>
      </c>
      <c r="D21" s="98">
        <f t="shared" si="5"/>
        <v>9</v>
      </c>
      <c r="E21" s="97" t="s">
        <v>105</v>
      </c>
      <c r="F21" s="99">
        <f t="shared" si="4"/>
        <v>32.573500793527991</v>
      </c>
      <c r="G21" s="97" t="s">
        <v>113</v>
      </c>
      <c r="H21" s="79">
        <v>450</v>
      </c>
      <c r="I21" s="79">
        <v>457.2</v>
      </c>
      <c r="J21" s="79">
        <v>9.5</v>
      </c>
      <c r="K21" s="80">
        <f t="shared" si="3"/>
        <v>438.2</v>
      </c>
      <c r="L21" s="87">
        <f t="shared" si="0"/>
        <v>5.1572822790200838</v>
      </c>
      <c r="M21" s="88" t="s">
        <v>114</v>
      </c>
      <c r="N21" s="83">
        <v>12.7</v>
      </c>
      <c r="O21" s="80">
        <f t="shared" si="1"/>
        <v>431.8</v>
      </c>
      <c r="P21" s="89">
        <f t="shared" si="2"/>
        <v>5.3112943828257961</v>
      </c>
      <c r="Q21" s="90" t="s">
        <v>114</v>
      </c>
      <c r="R21" s="86"/>
    </row>
    <row r="22" spans="2:18" ht="15.75" customHeight="1">
      <c r="B22" s="96">
        <v>3600</v>
      </c>
      <c r="C22" s="97" t="s">
        <v>105</v>
      </c>
      <c r="D22" s="98">
        <f t="shared" si="5"/>
        <v>10.799999999999999</v>
      </c>
      <c r="E22" s="97" t="s">
        <v>105</v>
      </c>
      <c r="F22" s="99">
        <f t="shared" si="4"/>
        <v>35.682482323055417</v>
      </c>
      <c r="G22" s="97" t="s">
        <v>113</v>
      </c>
      <c r="H22" s="79">
        <v>500</v>
      </c>
      <c r="I22" s="79">
        <v>508</v>
      </c>
      <c r="J22" s="79">
        <v>9.5</v>
      </c>
      <c r="K22" s="80">
        <f t="shared" si="3"/>
        <v>489</v>
      </c>
      <c r="L22" s="87">
        <f t="shared" si="0"/>
        <v>4.1414071691022718</v>
      </c>
      <c r="M22" s="88" t="s">
        <v>114</v>
      </c>
      <c r="N22" s="83">
        <v>12.7</v>
      </c>
      <c r="O22" s="80">
        <f t="shared" si="1"/>
        <v>482.6</v>
      </c>
      <c r="P22" s="89">
        <f t="shared" si="2"/>
        <v>4.2519780516250831</v>
      </c>
      <c r="Q22" s="90" t="s">
        <v>114</v>
      </c>
    </row>
    <row r="23" spans="2:18" ht="15.75" customHeight="1">
      <c r="B23" s="96">
        <v>4000</v>
      </c>
      <c r="C23" s="97" t="s">
        <v>105</v>
      </c>
      <c r="D23" s="98">
        <f t="shared" si="5"/>
        <v>12</v>
      </c>
      <c r="E23" s="97" t="s">
        <v>105</v>
      </c>
      <c r="F23" s="99">
        <f t="shared" si="4"/>
        <v>37.61263890318375</v>
      </c>
      <c r="G23" s="97" t="s">
        <v>113</v>
      </c>
      <c r="H23" s="79">
        <v>550</v>
      </c>
      <c r="I23" s="79">
        <v>558.79999999999995</v>
      </c>
      <c r="J23" s="79">
        <v>9.5</v>
      </c>
      <c r="K23" s="80">
        <f t="shared" si="3"/>
        <v>539.79999999999995</v>
      </c>
      <c r="L23" s="87">
        <f t="shared" si="0"/>
        <v>3.3985987142017264</v>
      </c>
      <c r="M23" s="88" t="s">
        <v>114</v>
      </c>
      <c r="N23" s="83">
        <v>12.7</v>
      </c>
      <c r="O23" s="80">
        <f t="shared" si="1"/>
        <v>533.4</v>
      </c>
      <c r="P23" s="89">
        <f t="shared" si="2"/>
        <v>3.4806441647089681</v>
      </c>
      <c r="Q23" s="90" t="s">
        <v>114</v>
      </c>
    </row>
    <row r="24" spans="2:18" ht="15.75" customHeight="1">
      <c r="B24" s="96">
        <v>5000</v>
      </c>
      <c r="C24" s="97" t="s">
        <v>105</v>
      </c>
      <c r="D24" s="98">
        <f t="shared" si="5"/>
        <v>15</v>
      </c>
      <c r="E24" s="97" t="s">
        <v>105</v>
      </c>
      <c r="F24" s="99">
        <f t="shared" si="4"/>
        <v>42.052208700336003</v>
      </c>
      <c r="G24" s="97" t="s">
        <v>113</v>
      </c>
      <c r="H24" s="79">
        <v>600</v>
      </c>
      <c r="I24" s="79">
        <v>609.6</v>
      </c>
      <c r="J24" s="79">
        <v>9.5</v>
      </c>
      <c r="K24" s="80">
        <f t="shared" si="3"/>
        <v>590.6</v>
      </c>
      <c r="L24" s="87">
        <f t="shared" si="0"/>
        <v>2.8390874108719877</v>
      </c>
      <c r="M24" s="88" t="s">
        <v>114</v>
      </c>
      <c r="N24" s="83">
        <v>12.7</v>
      </c>
      <c r="O24" s="80">
        <f t="shared" si="1"/>
        <v>584.20000000000005</v>
      </c>
      <c r="P24" s="89">
        <f t="shared" si="2"/>
        <v>2.9016334151921641</v>
      </c>
      <c r="Q24" s="90" t="s">
        <v>114</v>
      </c>
    </row>
    <row r="25" spans="2:18" ht="15.75" customHeight="1">
      <c r="B25" s="96">
        <v>5200</v>
      </c>
      <c r="C25" s="97" t="s">
        <v>105</v>
      </c>
      <c r="D25" s="98">
        <f t="shared" si="5"/>
        <v>15.6</v>
      </c>
      <c r="E25" s="97" t="s">
        <v>105</v>
      </c>
      <c r="F25" s="99">
        <f t="shared" si="4"/>
        <v>42.885006550537909</v>
      </c>
      <c r="G25" s="97" t="s">
        <v>113</v>
      </c>
      <c r="H25" s="79">
        <v>650</v>
      </c>
      <c r="I25" s="79">
        <v>660.4</v>
      </c>
      <c r="J25" s="79">
        <v>9.5</v>
      </c>
      <c r="K25" s="80">
        <f t="shared" si="3"/>
        <v>641.4</v>
      </c>
      <c r="L25" s="87">
        <f t="shared" si="0"/>
        <v>2.4071754084160704</v>
      </c>
      <c r="M25" s="88" t="s">
        <v>114</v>
      </c>
      <c r="N25" s="83">
        <v>12.7</v>
      </c>
      <c r="O25" s="80">
        <f t="shared" si="1"/>
        <v>635</v>
      </c>
      <c r="P25" s="89">
        <f t="shared" si="2"/>
        <v>2.4559425226186482</v>
      </c>
      <c r="Q25" s="90" t="s">
        <v>114</v>
      </c>
    </row>
    <row r="26" spans="2:18" ht="15.75" customHeight="1">
      <c r="B26" s="96">
        <v>6000</v>
      </c>
      <c r="C26" s="97" t="s">
        <v>105</v>
      </c>
      <c r="D26" s="98">
        <f t="shared" si="5"/>
        <v>18</v>
      </c>
      <c r="E26" s="97" t="s">
        <v>105</v>
      </c>
      <c r="F26" s="99">
        <f t="shared" si="4"/>
        <v>46.065886596178061</v>
      </c>
      <c r="G26" s="97" t="s">
        <v>113</v>
      </c>
      <c r="H26" s="79">
        <v>700</v>
      </c>
      <c r="I26" s="79">
        <v>711.2</v>
      </c>
      <c r="J26" s="79">
        <v>9.5</v>
      </c>
      <c r="K26" s="80">
        <f t="shared" si="3"/>
        <v>692.2</v>
      </c>
      <c r="L26" s="87">
        <f t="shared" si="0"/>
        <v>2.0668190665669495</v>
      </c>
      <c r="M26" s="88" t="s">
        <v>114</v>
      </c>
      <c r="N26" s="83">
        <v>12.7</v>
      </c>
      <c r="O26" s="80">
        <f t="shared" si="1"/>
        <v>685.80000000000007</v>
      </c>
      <c r="P26" s="89" t="s">
        <v>115</v>
      </c>
      <c r="Q26" s="90" t="s">
        <v>114</v>
      </c>
    </row>
    <row r="27" spans="2:18" ht="15.75" customHeight="1">
      <c r="B27" s="96">
        <v>7200</v>
      </c>
      <c r="C27" s="97" t="s">
        <v>105</v>
      </c>
      <c r="D27" s="98">
        <f t="shared" si="5"/>
        <v>21.599999999999998</v>
      </c>
      <c r="E27" s="97" t="s">
        <v>105</v>
      </c>
      <c r="F27" s="99">
        <f t="shared" si="4"/>
        <v>50.462650440403195</v>
      </c>
      <c r="G27" s="97" t="s">
        <v>113</v>
      </c>
      <c r="H27" s="79">
        <v>750</v>
      </c>
      <c r="I27" s="79">
        <v>762</v>
      </c>
      <c r="J27" s="79">
        <v>9.5</v>
      </c>
      <c r="K27" s="80">
        <f t="shared" si="3"/>
        <v>743</v>
      </c>
      <c r="L27" s="87">
        <f t="shared" si="0"/>
        <v>1.7938578345090821</v>
      </c>
      <c r="M27" s="88" t="s">
        <v>114</v>
      </c>
      <c r="N27" s="83">
        <v>12.7</v>
      </c>
      <c r="O27" s="80">
        <f t="shared" si="1"/>
        <v>736.6</v>
      </c>
      <c r="P27" s="89">
        <f t="shared" si="2"/>
        <v>1.8251653705548809</v>
      </c>
      <c r="Q27" s="90" t="s">
        <v>114</v>
      </c>
    </row>
    <row r="28" spans="2:18" ht="15.75" customHeight="1">
      <c r="B28" s="96">
        <v>8000</v>
      </c>
      <c r="C28" s="97" t="s">
        <v>105</v>
      </c>
      <c r="D28" s="98">
        <f t="shared" si="5"/>
        <v>24</v>
      </c>
      <c r="E28" s="97" t="s">
        <v>105</v>
      </c>
      <c r="F28" s="99">
        <f t="shared" si="4"/>
        <v>53.19230405352436</v>
      </c>
      <c r="G28" s="97" t="s">
        <v>113</v>
      </c>
      <c r="H28" s="79">
        <v>800</v>
      </c>
      <c r="I28" s="100">
        <v>812.8</v>
      </c>
      <c r="J28" s="101">
        <v>9.5</v>
      </c>
      <c r="K28" s="80">
        <f t="shared" si="3"/>
        <v>793.8</v>
      </c>
      <c r="L28" s="87">
        <f t="shared" si="0"/>
        <v>1.571605210732929</v>
      </c>
      <c r="M28" s="88" t="s">
        <v>114</v>
      </c>
      <c r="N28" s="83">
        <v>12.7</v>
      </c>
      <c r="O28" s="80">
        <f t="shared" si="1"/>
        <v>787.4</v>
      </c>
      <c r="P28" s="89">
        <f t="shared" si="2"/>
        <v>1.5972571036801821</v>
      </c>
      <c r="Q28" s="90" t="s">
        <v>114</v>
      </c>
    </row>
    <row r="29" spans="2:18" ht="15.75" customHeight="1">
      <c r="B29" s="97"/>
      <c r="C29" s="97"/>
      <c r="D29" s="97"/>
      <c r="E29" s="97"/>
      <c r="F29" s="102"/>
      <c r="G29" s="97"/>
      <c r="H29" s="80">
        <v>850</v>
      </c>
      <c r="I29" s="100">
        <v>863.6</v>
      </c>
      <c r="J29" s="101">
        <v>9.5</v>
      </c>
      <c r="K29" s="80">
        <f t="shared" si="3"/>
        <v>844.6</v>
      </c>
      <c r="L29" s="87">
        <f t="shared" si="0"/>
        <v>1.3882366156888786</v>
      </c>
      <c r="M29" s="88" t="s">
        <v>114</v>
      </c>
      <c r="N29" s="83">
        <v>12.7</v>
      </c>
      <c r="O29" s="80">
        <f t="shared" si="1"/>
        <v>838.2</v>
      </c>
      <c r="P29" s="89">
        <f t="shared" si="2"/>
        <v>1.4095170584358632</v>
      </c>
      <c r="Q29" s="90" t="s">
        <v>114</v>
      </c>
    </row>
    <row r="30" spans="2:18" ht="15.75" customHeight="1">
      <c r="B30" s="97"/>
      <c r="C30" s="97"/>
      <c r="D30" s="97"/>
      <c r="E30" s="97"/>
      <c r="F30" s="102"/>
      <c r="G30" s="97"/>
      <c r="H30" s="80">
        <v>900</v>
      </c>
      <c r="I30" s="100">
        <v>914.4</v>
      </c>
      <c r="J30" s="101">
        <v>9.5</v>
      </c>
      <c r="K30" s="80">
        <f t="shared" si="3"/>
        <v>895.4</v>
      </c>
      <c r="L30" s="87">
        <f t="shared" si="0"/>
        <v>1.2351834645522057</v>
      </c>
      <c r="M30" s="88" t="s">
        <v>114</v>
      </c>
      <c r="N30" s="83">
        <v>12.7</v>
      </c>
      <c r="O30" s="80">
        <f t="shared" si="1"/>
        <v>889</v>
      </c>
      <c r="P30" s="89">
        <f t="shared" si="2"/>
        <v>1.2530318992952285</v>
      </c>
      <c r="Q30" s="90" t="s">
        <v>114</v>
      </c>
    </row>
    <row r="31" spans="2:18" ht="15.75" customHeight="1" thickBot="1">
      <c r="B31" s="97"/>
      <c r="C31" s="97"/>
      <c r="D31" s="97"/>
      <c r="E31" s="97"/>
      <c r="F31" s="102"/>
      <c r="G31" s="97"/>
      <c r="H31" s="80">
        <v>1000</v>
      </c>
      <c r="I31" s="100">
        <v>1016</v>
      </c>
      <c r="J31" s="101">
        <v>9.5</v>
      </c>
      <c r="K31" s="80">
        <f t="shared" si="3"/>
        <v>997</v>
      </c>
      <c r="L31" s="103">
        <f t="shared" si="0"/>
        <v>0.99626605361008236</v>
      </c>
      <c r="M31" s="104" t="s">
        <v>114</v>
      </c>
      <c r="N31" s="83">
        <v>12.7</v>
      </c>
      <c r="O31" s="80">
        <f t="shared" si="1"/>
        <v>990.6</v>
      </c>
      <c r="P31" s="105">
        <f t="shared" si="2"/>
        <v>1.0091808524895824</v>
      </c>
      <c r="Q31" s="106" t="s">
        <v>114</v>
      </c>
    </row>
    <row r="32" spans="2:18" ht="15.75" customHeight="1">
      <c r="H32" s="201" t="s">
        <v>122</v>
      </c>
      <c r="I32" s="202"/>
      <c r="J32" s="202"/>
      <c r="K32" s="202"/>
      <c r="L32" s="203"/>
      <c r="M32" s="203"/>
      <c r="N32" s="202"/>
      <c r="O32" s="202"/>
      <c r="P32" s="203"/>
      <c r="Q32" s="203"/>
    </row>
    <row r="36" spans="18:18" ht="15.75" customHeight="1">
      <c r="R36" s="62"/>
    </row>
  </sheetData>
  <mergeCells count="10">
    <mergeCell ref="H3:I3"/>
    <mergeCell ref="J3:K3"/>
    <mergeCell ref="L3:M4"/>
    <mergeCell ref="N3:O3"/>
    <mergeCell ref="P3:Q4"/>
    <mergeCell ref="H32:Q32"/>
    <mergeCell ref="C6:D6"/>
    <mergeCell ref="B8:C8"/>
    <mergeCell ref="D8:E8"/>
    <mergeCell ref="F8:G8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B2D53-8700-4538-A150-0688A3D7E646}">
  <dimension ref="B1:AK42"/>
  <sheetViews>
    <sheetView zoomScale="85" zoomScaleNormal="85" workbookViewId="0">
      <pane xSplit="4" ySplit="5" topLeftCell="R6" activePane="bottomRight" state="frozen"/>
      <selection pane="topRight" activeCell="C1" sqref="C1"/>
      <selection pane="bottomLeft" activeCell="A6" sqref="A6"/>
      <selection pane="bottomRight" activeCell="T22" sqref="T22"/>
    </sheetView>
  </sheetViews>
  <sheetFormatPr defaultRowHeight="16.5"/>
  <cols>
    <col min="1" max="1" width="2.25" style="24" customWidth="1"/>
    <col min="2" max="2" width="5.625" style="24" customWidth="1"/>
    <col min="3" max="3" width="5.625" style="24" bestFit="1" customWidth="1"/>
    <col min="4" max="4" width="25.75" style="53" customWidth="1"/>
    <col min="5" max="5" width="22.375" style="24" customWidth="1"/>
    <col min="6" max="7" width="11.875" style="25" customWidth="1"/>
    <col min="8" max="14" width="9" style="32"/>
    <col min="15" max="16" width="11" style="25" customWidth="1"/>
    <col min="17" max="17" width="12" style="25" customWidth="1"/>
    <col min="18" max="19" width="17.5" style="25" customWidth="1"/>
    <col min="20" max="20" width="13.875" style="32" customWidth="1"/>
    <col min="21" max="21" width="11.875" style="25" customWidth="1"/>
    <col min="22" max="22" width="18.375" style="25" customWidth="1"/>
    <col min="23" max="23" width="14.75" style="25" customWidth="1"/>
    <col min="24" max="27" width="11.875" style="25" customWidth="1"/>
    <col min="28" max="34" width="9" style="32"/>
    <col min="35" max="37" width="11.125" style="24" customWidth="1"/>
    <col min="38" max="16384" width="9" style="24"/>
  </cols>
  <sheetData>
    <row r="1" spans="2:37" ht="31.5" customHeight="1">
      <c r="D1" s="216" t="s">
        <v>255</v>
      </c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R1" s="217"/>
      <c r="S1" s="218"/>
      <c r="AB1" s="24"/>
      <c r="AC1" s="24"/>
      <c r="AD1" s="24"/>
      <c r="AE1" s="24"/>
      <c r="AF1" s="24"/>
      <c r="AG1" s="24"/>
      <c r="AH1" s="24"/>
    </row>
    <row r="2" spans="2:37" ht="19.5" customHeight="1">
      <c r="D2" s="107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222" t="s">
        <v>253</v>
      </c>
      <c r="Z2" s="223"/>
      <c r="AA2" s="224"/>
      <c r="AB2" s="222" t="s">
        <v>254</v>
      </c>
      <c r="AC2" s="223"/>
      <c r="AD2" s="223"/>
      <c r="AE2" s="223"/>
      <c r="AF2" s="223"/>
      <c r="AG2" s="223"/>
      <c r="AH2" s="223"/>
      <c r="AI2" s="223"/>
      <c r="AJ2" s="223"/>
      <c r="AK2" s="224"/>
    </row>
    <row r="3" spans="2:37" ht="44.25" customHeight="1">
      <c r="B3" s="230" t="s">
        <v>272</v>
      </c>
      <c r="C3" s="231"/>
      <c r="D3" s="219" t="s">
        <v>236</v>
      </c>
      <c r="E3" s="149" t="s">
        <v>233</v>
      </c>
      <c r="F3" s="220" t="s">
        <v>201</v>
      </c>
      <c r="G3" s="221"/>
      <c r="H3" s="248" t="s">
        <v>240</v>
      </c>
      <c r="I3" s="249"/>
      <c r="J3" s="249"/>
      <c r="K3" s="249"/>
      <c r="L3" s="249"/>
      <c r="M3" s="250"/>
      <c r="N3" s="171">
        <v>1.75</v>
      </c>
      <c r="O3" s="220" t="s">
        <v>239</v>
      </c>
      <c r="P3" s="221"/>
      <c r="Q3" s="152" t="s">
        <v>241</v>
      </c>
      <c r="R3" s="152" t="s">
        <v>197</v>
      </c>
      <c r="S3" s="152" t="s">
        <v>206</v>
      </c>
      <c r="T3" s="220" t="s">
        <v>207</v>
      </c>
      <c r="U3" s="221"/>
      <c r="V3" s="152" t="s">
        <v>206</v>
      </c>
      <c r="W3" s="220" t="s">
        <v>198</v>
      </c>
      <c r="X3" s="221"/>
      <c r="Y3" s="152" t="s">
        <v>206</v>
      </c>
      <c r="Z3" s="152" t="s">
        <v>199</v>
      </c>
      <c r="AA3" s="152" t="s">
        <v>200</v>
      </c>
      <c r="AB3" s="238" t="s">
        <v>252</v>
      </c>
      <c r="AC3" s="239"/>
      <c r="AD3" s="239"/>
      <c r="AE3" s="239"/>
      <c r="AF3" s="239"/>
      <c r="AG3" s="240"/>
      <c r="AH3" s="163">
        <v>1.75</v>
      </c>
      <c r="AI3" s="164" t="s">
        <v>206</v>
      </c>
      <c r="AJ3" s="164" t="s">
        <v>199</v>
      </c>
      <c r="AK3" s="164" t="s">
        <v>200</v>
      </c>
    </row>
    <row r="4" spans="2:37" ht="16.5" customHeight="1">
      <c r="B4" s="232"/>
      <c r="C4" s="233"/>
      <c r="D4" s="219"/>
      <c r="E4" s="157" t="s">
        <v>237</v>
      </c>
      <c r="F4" s="251" t="s">
        <v>243</v>
      </c>
      <c r="G4" s="242"/>
      <c r="H4" s="150" t="s">
        <v>183</v>
      </c>
      <c r="I4" s="150" t="s">
        <v>182</v>
      </c>
      <c r="J4" s="150" t="s">
        <v>181</v>
      </c>
      <c r="K4" s="150" t="s">
        <v>176</v>
      </c>
      <c r="L4" s="150" t="s">
        <v>177</v>
      </c>
      <c r="M4" s="150" t="s">
        <v>178</v>
      </c>
      <c r="N4" s="151" t="s">
        <v>179</v>
      </c>
      <c r="O4" s="244" t="s">
        <v>250</v>
      </c>
      <c r="P4" s="244"/>
      <c r="Q4" s="157" t="s">
        <v>251</v>
      </c>
      <c r="R4" s="153" t="s">
        <v>244</v>
      </c>
      <c r="S4" s="153" t="s">
        <v>244</v>
      </c>
      <c r="T4" s="242" t="s">
        <v>238</v>
      </c>
      <c r="U4" s="243"/>
      <c r="V4" s="153" t="s">
        <v>244</v>
      </c>
      <c r="W4" s="242" t="s">
        <v>238</v>
      </c>
      <c r="X4" s="243"/>
      <c r="Y4" s="153" t="s">
        <v>244</v>
      </c>
      <c r="Z4" s="244" t="s">
        <v>250</v>
      </c>
      <c r="AA4" s="244"/>
      <c r="AB4" s="156" t="s">
        <v>183</v>
      </c>
      <c r="AC4" s="156" t="s">
        <v>182</v>
      </c>
      <c r="AD4" s="156" t="s">
        <v>181</v>
      </c>
      <c r="AE4" s="156" t="s">
        <v>176</v>
      </c>
      <c r="AF4" s="156" t="s">
        <v>177</v>
      </c>
      <c r="AG4" s="156" t="s">
        <v>178</v>
      </c>
      <c r="AH4" s="156" t="s">
        <v>179</v>
      </c>
      <c r="AI4" s="225" t="s">
        <v>244</v>
      </c>
      <c r="AJ4" s="225"/>
      <c r="AK4" s="225"/>
    </row>
    <row r="5" spans="2:37" ht="19.5" hidden="1" customHeight="1">
      <c r="D5" s="110"/>
      <c r="E5" s="109"/>
      <c r="F5" s="109"/>
      <c r="G5" s="124"/>
      <c r="H5" s="127">
        <v>27.2</v>
      </c>
      <c r="I5" s="127">
        <v>35.5</v>
      </c>
      <c r="J5" s="127">
        <v>41.2</v>
      </c>
      <c r="K5" s="127">
        <v>52.7</v>
      </c>
      <c r="L5" s="127">
        <v>65.899999999999991</v>
      </c>
      <c r="M5" s="127">
        <v>78.099999999999994</v>
      </c>
      <c r="N5" s="125">
        <v>102.3</v>
      </c>
      <c r="O5" s="109"/>
      <c r="P5" s="109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11">
        <v>27.2</v>
      </c>
      <c r="AC5" s="111">
        <v>35.5</v>
      </c>
      <c r="AD5" s="111">
        <v>41.2</v>
      </c>
      <c r="AE5" s="111">
        <v>52.7</v>
      </c>
      <c r="AF5" s="111">
        <v>65.899999999999991</v>
      </c>
      <c r="AG5" s="111">
        <v>78.099999999999994</v>
      </c>
      <c r="AH5" s="111">
        <v>102.3</v>
      </c>
      <c r="AI5" s="154"/>
      <c r="AJ5" s="154"/>
      <c r="AK5" s="154"/>
    </row>
    <row r="6" spans="2:37" ht="34.5" customHeight="1">
      <c r="B6" s="226" t="s">
        <v>271</v>
      </c>
      <c r="C6" s="234" t="s">
        <v>270</v>
      </c>
      <c r="D6" s="54" t="s">
        <v>42</v>
      </c>
      <c r="E6" s="112" t="s">
        <v>60</v>
      </c>
      <c r="F6" s="113" t="s">
        <v>208</v>
      </c>
      <c r="G6" s="114" t="s">
        <v>44</v>
      </c>
      <c r="H6" s="158">
        <f>2.5/((H5/(1000*2))*(H5/(1000*2))*PI()*3600)</f>
        <v>1.1951153334346716</v>
      </c>
      <c r="I6" s="128">
        <f t="shared" ref="I6:N6" si="0">2.5/((I5/(1000*2))*(I5/(1000*2))*PI()*3600)</f>
        <v>0.70160216487864124</v>
      </c>
      <c r="J6" s="128">
        <f t="shared" si="0"/>
        <v>0.52089860512790287</v>
      </c>
      <c r="K6" s="128">
        <f t="shared" si="0"/>
        <v>0.31836579121672826</v>
      </c>
      <c r="L6" s="128">
        <f t="shared" si="0"/>
        <v>0.2035995422982603</v>
      </c>
      <c r="M6" s="128">
        <f t="shared" si="0"/>
        <v>0.14495912497492591</v>
      </c>
      <c r="N6" s="126">
        <f t="shared" si="0"/>
        <v>8.4488258642455905E-2</v>
      </c>
      <c r="O6" s="113" t="s">
        <v>45</v>
      </c>
      <c r="P6" s="112" t="s">
        <v>43</v>
      </c>
      <c r="Q6" s="121" t="s">
        <v>147</v>
      </c>
      <c r="R6" s="121" t="s">
        <v>46</v>
      </c>
      <c r="S6" s="112" t="s">
        <v>51</v>
      </c>
      <c r="T6" s="113" t="s">
        <v>47</v>
      </c>
      <c r="U6" s="112" t="s">
        <v>48</v>
      </c>
      <c r="V6" s="112" t="s">
        <v>51</v>
      </c>
      <c r="W6" s="113" t="s">
        <v>49</v>
      </c>
      <c r="X6" s="114" t="s">
        <v>50</v>
      </c>
      <c r="Y6" s="143" t="s">
        <v>51</v>
      </c>
      <c r="Z6" s="121" t="s">
        <v>51</v>
      </c>
      <c r="AA6" s="113" t="s">
        <v>46</v>
      </c>
      <c r="AB6" s="131">
        <f>2.5/2/((AB5/(1000*2))*(AB5/(1000*2))*PI()*3600)</f>
        <v>0.59755766671733579</v>
      </c>
      <c r="AC6" s="52">
        <f t="shared" ref="AC6:AH6" si="1">2.5/2/((AC5/(1000*2))*(AC5/(1000*2))*PI()*3600)</f>
        <v>0.35080108243932062</v>
      </c>
      <c r="AD6" s="52">
        <f t="shared" si="1"/>
        <v>0.26044930256395143</v>
      </c>
      <c r="AE6" s="52">
        <f t="shared" si="1"/>
        <v>0.15918289560836413</v>
      </c>
      <c r="AF6" s="52">
        <f t="shared" si="1"/>
        <v>0.10179977114913015</v>
      </c>
      <c r="AG6" s="52">
        <f t="shared" si="1"/>
        <v>7.2479562487462956E-2</v>
      </c>
      <c r="AH6" s="52">
        <f t="shared" si="1"/>
        <v>4.2244129321227952E-2</v>
      </c>
      <c r="AI6" s="51" t="s">
        <v>245</v>
      </c>
      <c r="AJ6" s="51" t="s">
        <v>245</v>
      </c>
      <c r="AK6" s="51" t="s">
        <v>246</v>
      </c>
    </row>
    <row r="7" spans="2:37" ht="34.5" customHeight="1" thickBot="1">
      <c r="B7" s="227"/>
      <c r="C7" s="235"/>
      <c r="D7" s="55" t="s">
        <v>52</v>
      </c>
      <c r="E7" s="115" t="s">
        <v>60</v>
      </c>
      <c r="F7" s="116" t="s">
        <v>209</v>
      </c>
      <c r="G7" s="117" t="s">
        <v>44</v>
      </c>
      <c r="H7" s="159">
        <f>3/((H5/(1000*2))*(H5/(1000*2))*PI()*3600)</f>
        <v>1.434138400121606</v>
      </c>
      <c r="I7" s="134">
        <f t="shared" ref="I7:N7" si="2">3/((I5/(1000*2))*(I5/(1000*2))*PI()*3600)</f>
        <v>0.84192259785436951</v>
      </c>
      <c r="J7" s="134">
        <f t="shared" si="2"/>
        <v>0.62507832615348347</v>
      </c>
      <c r="K7" s="134">
        <f t="shared" si="2"/>
        <v>0.38203894946007394</v>
      </c>
      <c r="L7" s="134">
        <f t="shared" si="2"/>
        <v>0.24431945075791237</v>
      </c>
      <c r="M7" s="134">
        <f t="shared" si="2"/>
        <v>0.17395094996991109</v>
      </c>
      <c r="N7" s="132">
        <f t="shared" si="2"/>
        <v>0.10138591037094709</v>
      </c>
      <c r="O7" s="135" t="s">
        <v>45</v>
      </c>
      <c r="P7" s="136" t="s">
        <v>43</v>
      </c>
      <c r="Q7" s="137" t="s">
        <v>147</v>
      </c>
      <c r="R7" s="137" t="s">
        <v>46</v>
      </c>
      <c r="S7" s="136" t="s">
        <v>51</v>
      </c>
      <c r="T7" s="135" t="s">
        <v>47</v>
      </c>
      <c r="U7" s="136" t="s">
        <v>48</v>
      </c>
      <c r="V7" s="136" t="s">
        <v>51</v>
      </c>
      <c r="W7" s="135" t="s">
        <v>49</v>
      </c>
      <c r="X7" s="138" t="s">
        <v>50</v>
      </c>
      <c r="Y7" s="146" t="s">
        <v>51</v>
      </c>
      <c r="Z7" s="137" t="s">
        <v>51</v>
      </c>
      <c r="AA7" s="135" t="s">
        <v>46</v>
      </c>
      <c r="AB7" s="131">
        <f>3/2/((AB5/(1000*2))*(AB5/(1000*2))*PI()*3600)</f>
        <v>0.71706920006080299</v>
      </c>
      <c r="AC7" s="52">
        <f t="shared" ref="AC7:AH7" si="3">3/2/((AC5/(1000*2))*(AC5/(1000*2))*PI()*3600)</f>
        <v>0.42096129892718476</v>
      </c>
      <c r="AD7" s="52">
        <f t="shared" si="3"/>
        <v>0.31253916307674173</v>
      </c>
      <c r="AE7" s="52">
        <f t="shared" si="3"/>
        <v>0.19101947473003697</v>
      </c>
      <c r="AF7" s="52">
        <f t="shared" si="3"/>
        <v>0.12215972537895618</v>
      </c>
      <c r="AG7" s="52">
        <f t="shared" si="3"/>
        <v>8.6975474984955545E-2</v>
      </c>
      <c r="AH7" s="52">
        <f t="shared" si="3"/>
        <v>5.0692955185473544E-2</v>
      </c>
      <c r="AI7" s="51" t="s">
        <v>245</v>
      </c>
      <c r="AJ7" s="51" t="s">
        <v>245</v>
      </c>
      <c r="AK7" s="51" t="s">
        <v>246</v>
      </c>
    </row>
    <row r="8" spans="2:37" ht="34.5" customHeight="1">
      <c r="B8" s="227"/>
      <c r="C8" s="235"/>
      <c r="D8" s="55" t="s">
        <v>53</v>
      </c>
      <c r="E8" s="115" t="s">
        <v>51</v>
      </c>
      <c r="F8" s="116" t="s">
        <v>210</v>
      </c>
      <c r="G8" s="117" t="s">
        <v>54</v>
      </c>
      <c r="H8" s="129">
        <f>5/((H5/(1000*2))*(H5/(1000*2))*PI()*3600)</f>
        <v>2.3902306668693432</v>
      </c>
      <c r="I8" s="128">
        <f t="shared" ref="I8:N8" si="4">5/((I5/(1000*2))*(I5/(1000*2))*PI()*3600)</f>
        <v>1.4032043297572825</v>
      </c>
      <c r="J8" s="128">
        <f t="shared" si="4"/>
        <v>1.0417972102558057</v>
      </c>
      <c r="K8" s="128">
        <f t="shared" si="4"/>
        <v>0.63673158243345651</v>
      </c>
      <c r="L8" s="128">
        <f t="shared" si="4"/>
        <v>0.4071990845965206</v>
      </c>
      <c r="M8" s="128">
        <f t="shared" si="4"/>
        <v>0.28991824994985183</v>
      </c>
      <c r="N8" s="126">
        <f t="shared" si="4"/>
        <v>0.16897651728491181</v>
      </c>
      <c r="O8" s="161" t="s">
        <v>62</v>
      </c>
      <c r="P8" s="162" t="s">
        <v>60</v>
      </c>
      <c r="Q8" s="121" t="s">
        <v>147</v>
      </c>
      <c r="R8" s="121" t="s">
        <v>46</v>
      </c>
      <c r="S8" s="112" t="s">
        <v>51</v>
      </c>
      <c r="T8" s="113" t="s">
        <v>47</v>
      </c>
      <c r="U8" s="112" t="s">
        <v>48</v>
      </c>
      <c r="V8" s="112" t="s">
        <v>51</v>
      </c>
      <c r="W8" s="113" t="s">
        <v>49</v>
      </c>
      <c r="X8" s="114" t="s">
        <v>50</v>
      </c>
      <c r="Y8" s="147" t="s">
        <v>51</v>
      </c>
      <c r="Z8" s="121" t="s">
        <v>51</v>
      </c>
      <c r="AA8" s="113" t="s">
        <v>46</v>
      </c>
      <c r="AB8" s="131">
        <f>5/2/((AB5/(1000*2))*(AB5/(1000*2))*PI()*3600)</f>
        <v>1.1951153334346716</v>
      </c>
      <c r="AC8" s="52">
        <f t="shared" ref="AC8:AH8" si="5">5/2/((AC5/(1000*2))*(AC5/(1000*2))*PI()*3600)</f>
        <v>0.70160216487864124</v>
      </c>
      <c r="AD8" s="52">
        <f t="shared" si="5"/>
        <v>0.52089860512790287</v>
      </c>
      <c r="AE8" s="52">
        <f t="shared" si="5"/>
        <v>0.31836579121672826</v>
      </c>
      <c r="AF8" s="52">
        <f t="shared" si="5"/>
        <v>0.2035995422982603</v>
      </c>
      <c r="AG8" s="52">
        <f t="shared" si="5"/>
        <v>0.14495912497492591</v>
      </c>
      <c r="AH8" s="52">
        <f t="shared" si="5"/>
        <v>8.4488258642455905E-2</v>
      </c>
      <c r="AI8" s="51" t="s">
        <v>245</v>
      </c>
      <c r="AJ8" s="51" t="s">
        <v>245</v>
      </c>
      <c r="AK8" s="51" t="s">
        <v>246</v>
      </c>
    </row>
    <row r="9" spans="2:37" ht="34.5" customHeight="1" thickBot="1">
      <c r="B9" s="227"/>
      <c r="C9" s="235"/>
      <c r="D9" s="55" t="s">
        <v>55</v>
      </c>
      <c r="E9" s="115" t="s">
        <v>51</v>
      </c>
      <c r="F9" s="116" t="s">
        <v>211</v>
      </c>
      <c r="G9" s="117" t="s">
        <v>54</v>
      </c>
      <c r="H9" s="130">
        <f>6/((H5/(1000*2))*(H5/(1000*2))*PI()*3600)</f>
        <v>2.868276800243212</v>
      </c>
      <c r="I9" s="134">
        <f t="shared" ref="I9:N9" si="6">6/((I5/(1000*2))*(I5/(1000*2))*PI()*3600)</f>
        <v>1.683845195708739</v>
      </c>
      <c r="J9" s="134">
        <f t="shared" si="6"/>
        <v>1.2501566523069669</v>
      </c>
      <c r="K9" s="134">
        <f t="shared" si="6"/>
        <v>0.76407789892014788</v>
      </c>
      <c r="L9" s="134">
        <f t="shared" si="6"/>
        <v>0.48863890151582473</v>
      </c>
      <c r="M9" s="134">
        <f t="shared" si="6"/>
        <v>0.34790189993982218</v>
      </c>
      <c r="N9" s="132">
        <f t="shared" si="6"/>
        <v>0.20277182074189418</v>
      </c>
      <c r="O9" s="135" t="s">
        <v>62</v>
      </c>
      <c r="P9" s="136" t="s">
        <v>60</v>
      </c>
      <c r="Q9" s="137" t="s">
        <v>46</v>
      </c>
      <c r="R9" s="137" t="s">
        <v>46</v>
      </c>
      <c r="S9" s="136" t="s">
        <v>51</v>
      </c>
      <c r="T9" s="135" t="s">
        <v>56</v>
      </c>
      <c r="U9" s="136" t="s">
        <v>48</v>
      </c>
      <c r="V9" s="136" t="s">
        <v>51</v>
      </c>
      <c r="W9" s="177" t="s">
        <v>57</v>
      </c>
      <c r="X9" s="179" t="s">
        <v>273</v>
      </c>
      <c r="Y9" s="146" t="s">
        <v>51</v>
      </c>
      <c r="Z9" s="137" t="s">
        <v>51</v>
      </c>
      <c r="AA9" s="135" t="s">
        <v>46</v>
      </c>
      <c r="AB9" s="132">
        <f>3/((AB5/(1000*2))*(AB5/(1000*2))*PI()*3600)</f>
        <v>1.434138400121606</v>
      </c>
      <c r="AC9" s="167">
        <f t="shared" ref="AC9:AH9" si="7">3/((AC5/(1000*2))*(AC5/(1000*2))*PI()*3600)</f>
        <v>0.84192259785436951</v>
      </c>
      <c r="AD9" s="167">
        <f t="shared" si="7"/>
        <v>0.62507832615348347</v>
      </c>
      <c r="AE9" s="167">
        <f t="shared" si="7"/>
        <v>0.38203894946007394</v>
      </c>
      <c r="AF9" s="167">
        <f t="shared" si="7"/>
        <v>0.24431945075791237</v>
      </c>
      <c r="AG9" s="167">
        <f t="shared" si="7"/>
        <v>0.17395094996991109</v>
      </c>
      <c r="AH9" s="167">
        <f t="shared" si="7"/>
        <v>0.10138591037094709</v>
      </c>
      <c r="AI9" s="160" t="s">
        <v>245</v>
      </c>
      <c r="AJ9" s="160" t="s">
        <v>245</v>
      </c>
      <c r="AK9" s="160" t="s">
        <v>246</v>
      </c>
    </row>
    <row r="10" spans="2:37" s="40" customFormat="1" ht="34.5" hidden="1" customHeight="1" thickBot="1">
      <c r="B10" s="227"/>
      <c r="C10" s="235"/>
      <c r="D10" s="56" t="s">
        <v>59</v>
      </c>
      <c r="E10" s="118"/>
      <c r="F10" s="119">
        <v>10</v>
      </c>
      <c r="G10" s="120" t="s">
        <v>61</v>
      </c>
      <c r="H10" s="52"/>
      <c r="I10" s="129"/>
      <c r="J10" s="128"/>
      <c r="K10" s="128"/>
      <c r="L10" s="128"/>
      <c r="M10" s="128"/>
      <c r="N10" s="126"/>
      <c r="O10" s="139" t="s">
        <v>62</v>
      </c>
      <c r="P10" s="140" t="s">
        <v>60</v>
      </c>
      <c r="Q10" s="141"/>
      <c r="R10" s="141" t="s">
        <v>46</v>
      </c>
      <c r="S10" s="145" t="s">
        <v>181</v>
      </c>
      <c r="T10" s="139" t="s">
        <v>202</v>
      </c>
      <c r="U10" s="140" t="s">
        <v>48</v>
      </c>
      <c r="V10" s="145" t="s">
        <v>181</v>
      </c>
      <c r="W10" s="178" t="s">
        <v>57</v>
      </c>
      <c r="X10" s="142" t="s">
        <v>58</v>
      </c>
      <c r="Y10" s="172" t="s">
        <v>181</v>
      </c>
      <c r="Z10" s="141" t="s">
        <v>51</v>
      </c>
      <c r="AA10" s="141" t="s">
        <v>46</v>
      </c>
      <c r="AB10" s="165"/>
      <c r="AC10" s="165"/>
      <c r="AD10" s="165"/>
      <c r="AE10" s="165"/>
      <c r="AF10" s="165"/>
      <c r="AG10" s="165"/>
      <c r="AH10" s="165"/>
      <c r="AI10" s="166"/>
      <c r="AJ10" s="166"/>
      <c r="AK10" s="166"/>
    </row>
    <row r="11" spans="2:37" ht="34.5" customHeight="1" thickBot="1">
      <c r="B11" s="227"/>
      <c r="C11" s="235"/>
      <c r="D11" s="55" t="s">
        <v>59</v>
      </c>
      <c r="E11" s="115" t="s">
        <v>46</v>
      </c>
      <c r="F11" s="116" t="s">
        <v>212</v>
      </c>
      <c r="G11" s="117" t="s">
        <v>61</v>
      </c>
      <c r="H11" s="52">
        <f>10/((H5/(1000*2))*(H5/(1000*2))*PI()*3600)</f>
        <v>4.7804613337386863</v>
      </c>
      <c r="I11" s="130">
        <f t="shared" ref="I11:N11" si="8">10/((I5/(1000*2))*(I5/(1000*2))*PI()*3600)</f>
        <v>2.806408659514565</v>
      </c>
      <c r="J11" s="134">
        <f t="shared" si="8"/>
        <v>2.0835944205116115</v>
      </c>
      <c r="K11" s="134">
        <f t="shared" si="8"/>
        <v>1.273463164866913</v>
      </c>
      <c r="L11" s="134">
        <f t="shared" si="8"/>
        <v>0.8143981691930412</v>
      </c>
      <c r="M11" s="134">
        <f t="shared" si="8"/>
        <v>0.57983649989970365</v>
      </c>
      <c r="N11" s="132">
        <f t="shared" si="8"/>
        <v>0.33795303456982362</v>
      </c>
      <c r="O11" s="135" t="s">
        <v>64</v>
      </c>
      <c r="P11" s="136" t="s">
        <v>51</v>
      </c>
      <c r="Q11" s="137" t="s">
        <v>46</v>
      </c>
      <c r="R11" s="137" t="s">
        <v>46</v>
      </c>
      <c r="S11" s="137" t="s">
        <v>51</v>
      </c>
      <c r="T11" s="135" t="s">
        <v>56</v>
      </c>
      <c r="U11" s="136" t="s">
        <v>48</v>
      </c>
      <c r="V11" s="137" t="s">
        <v>51</v>
      </c>
      <c r="W11" s="177" t="s">
        <v>57</v>
      </c>
      <c r="X11" s="179" t="s">
        <v>273</v>
      </c>
      <c r="Y11" s="137" t="s">
        <v>51</v>
      </c>
      <c r="Z11" s="137" t="s">
        <v>51</v>
      </c>
      <c r="AA11" s="137" t="s">
        <v>46</v>
      </c>
      <c r="AB11" s="130">
        <f>5/((AB5/(1000*2))*(AB5/(1000*2))*PI()*3600)</f>
        <v>2.3902306668693432</v>
      </c>
      <c r="AC11" s="131">
        <f t="shared" ref="AC11:AH11" si="9">5/((AC5/(1000*2))*(AC5/(1000*2))*PI()*3600)</f>
        <v>1.4032043297572825</v>
      </c>
      <c r="AD11" s="52">
        <f t="shared" si="9"/>
        <v>1.0417972102558057</v>
      </c>
      <c r="AE11" s="52">
        <f t="shared" si="9"/>
        <v>0.63673158243345651</v>
      </c>
      <c r="AF11" s="52">
        <f t="shared" si="9"/>
        <v>0.4071990845965206</v>
      </c>
      <c r="AG11" s="52">
        <f t="shared" si="9"/>
        <v>0.28991824994985183</v>
      </c>
      <c r="AH11" s="52">
        <f t="shared" si="9"/>
        <v>0.16897651728491181</v>
      </c>
      <c r="AI11" s="51" t="s">
        <v>245</v>
      </c>
      <c r="AJ11" s="51" t="s">
        <v>245</v>
      </c>
      <c r="AK11" s="51" t="s">
        <v>246</v>
      </c>
    </row>
    <row r="12" spans="2:37" ht="34.5" customHeight="1" thickBot="1">
      <c r="B12" s="227"/>
      <c r="C12" s="235"/>
      <c r="D12" s="55" t="s">
        <v>63</v>
      </c>
      <c r="E12" s="115" t="s">
        <v>46</v>
      </c>
      <c r="F12" s="116" t="s">
        <v>213</v>
      </c>
      <c r="G12" s="117" t="s">
        <v>61</v>
      </c>
      <c r="H12" s="52">
        <f>12/((H5/(1000*2))*(H5/(1000*2))*PI()*3600)</f>
        <v>5.7365536004864239</v>
      </c>
      <c r="I12" s="52">
        <f t="shared" ref="I12:N12" si="10">12/((I5/(1000*2))*(I5/(1000*2))*PI()*3600)</f>
        <v>3.3676903914174781</v>
      </c>
      <c r="J12" s="129">
        <f t="shared" si="10"/>
        <v>2.5003133046139339</v>
      </c>
      <c r="K12" s="128">
        <f t="shared" si="10"/>
        <v>1.5281557978402958</v>
      </c>
      <c r="L12" s="128">
        <f t="shared" si="10"/>
        <v>0.97727780303164946</v>
      </c>
      <c r="M12" s="128">
        <f t="shared" si="10"/>
        <v>0.69580379987964436</v>
      </c>
      <c r="N12" s="126">
        <f t="shared" si="10"/>
        <v>0.40554364148378835</v>
      </c>
      <c r="O12" s="116" t="s">
        <v>70</v>
      </c>
      <c r="P12" s="115" t="s">
        <v>46</v>
      </c>
      <c r="Q12" s="121" t="s">
        <v>46</v>
      </c>
      <c r="R12" s="121" t="s">
        <v>46</v>
      </c>
      <c r="S12" s="121" t="s">
        <v>46</v>
      </c>
      <c r="T12" s="113" t="s">
        <v>187</v>
      </c>
      <c r="U12" s="112" t="s">
        <v>58</v>
      </c>
      <c r="V12" s="121" t="s">
        <v>46</v>
      </c>
      <c r="W12" s="113" t="s">
        <v>66</v>
      </c>
      <c r="X12" s="114" t="s">
        <v>58</v>
      </c>
      <c r="Y12" s="121" t="s">
        <v>46</v>
      </c>
      <c r="Z12" s="121" t="s">
        <v>46</v>
      </c>
      <c r="AA12" s="121" t="s">
        <v>46</v>
      </c>
      <c r="AB12" s="130">
        <f>6/((AB5/(1000*2))*(AB5/(1000*2))*PI()*3600)</f>
        <v>2.868276800243212</v>
      </c>
      <c r="AC12" s="132">
        <f t="shared" ref="AC12:AH12" si="11">6/((AC5/(1000*2))*(AC5/(1000*2))*PI()*3600)</f>
        <v>1.683845195708739</v>
      </c>
      <c r="AD12" s="167">
        <f t="shared" si="11"/>
        <v>1.2501566523069669</v>
      </c>
      <c r="AE12" s="167">
        <f t="shared" si="11"/>
        <v>0.76407789892014788</v>
      </c>
      <c r="AF12" s="167">
        <f t="shared" si="11"/>
        <v>0.48863890151582473</v>
      </c>
      <c r="AG12" s="167">
        <f t="shared" si="11"/>
        <v>0.34790189993982218</v>
      </c>
      <c r="AH12" s="167">
        <f t="shared" si="11"/>
        <v>0.20277182074189418</v>
      </c>
      <c r="AI12" s="160" t="s">
        <v>245</v>
      </c>
      <c r="AJ12" s="160" t="s">
        <v>245</v>
      </c>
      <c r="AK12" s="160" t="s">
        <v>246</v>
      </c>
    </row>
    <row r="13" spans="2:37" s="40" customFormat="1" ht="34.5" hidden="1" customHeight="1" thickBot="1">
      <c r="B13" s="227"/>
      <c r="C13" s="235"/>
      <c r="D13" s="56" t="s">
        <v>63</v>
      </c>
      <c r="E13" s="118"/>
      <c r="F13" s="119">
        <v>12</v>
      </c>
      <c r="G13" s="120" t="s">
        <v>61</v>
      </c>
      <c r="H13" s="52"/>
      <c r="I13" s="52"/>
      <c r="J13" s="130"/>
      <c r="K13" s="133"/>
      <c r="L13" s="133"/>
      <c r="M13" s="133"/>
      <c r="N13" s="131"/>
      <c r="O13" s="119" t="s">
        <v>64</v>
      </c>
      <c r="P13" s="118" t="s">
        <v>51</v>
      </c>
      <c r="Q13" s="122" t="s">
        <v>46</v>
      </c>
      <c r="R13" s="123" t="s">
        <v>46</v>
      </c>
      <c r="S13" s="123" t="s">
        <v>46</v>
      </c>
      <c r="T13" s="119" t="s">
        <v>65</v>
      </c>
      <c r="U13" s="118" t="s">
        <v>58</v>
      </c>
      <c r="V13" s="123" t="s">
        <v>46</v>
      </c>
      <c r="W13" s="119" t="s">
        <v>66</v>
      </c>
      <c r="X13" s="120" t="s">
        <v>58</v>
      </c>
      <c r="Y13" s="123" t="s">
        <v>46</v>
      </c>
      <c r="Z13" s="123" t="s">
        <v>51</v>
      </c>
      <c r="AA13" s="123" t="s">
        <v>46</v>
      </c>
      <c r="AB13" s="52"/>
      <c r="AC13" s="165"/>
      <c r="AD13" s="165"/>
      <c r="AE13" s="165"/>
      <c r="AF13" s="165"/>
      <c r="AG13" s="165"/>
      <c r="AH13" s="165"/>
      <c r="AI13" s="168"/>
      <c r="AJ13" s="166"/>
      <c r="AK13" s="166"/>
    </row>
    <row r="14" spans="2:37" ht="34.5" customHeight="1" thickBot="1">
      <c r="B14" s="227"/>
      <c r="C14" s="235"/>
      <c r="D14" s="55" t="s">
        <v>67</v>
      </c>
      <c r="E14" s="115" t="s">
        <v>78</v>
      </c>
      <c r="F14" s="116" t="s">
        <v>214</v>
      </c>
      <c r="G14" s="117" t="s">
        <v>68</v>
      </c>
      <c r="H14" s="52">
        <f>15/((H5/(1000*2))*(H5/(1000*2))*PI()*3600)</f>
        <v>7.1706920006080299</v>
      </c>
      <c r="I14" s="52">
        <f t="shared" ref="I14:N14" si="12">15/((I5/(1000*2))*(I5/(1000*2))*PI()*3600)</f>
        <v>4.2096129892718475</v>
      </c>
      <c r="J14" s="130">
        <f t="shared" si="12"/>
        <v>3.125391630767417</v>
      </c>
      <c r="K14" s="134">
        <f t="shared" si="12"/>
        <v>1.9101947473003695</v>
      </c>
      <c r="L14" s="134">
        <f t="shared" si="12"/>
        <v>1.2215972537895619</v>
      </c>
      <c r="M14" s="134">
        <f t="shared" si="12"/>
        <v>0.86975474984955536</v>
      </c>
      <c r="N14" s="132">
        <f t="shared" si="12"/>
        <v>0.50692955185473543</v>
      </c>
      <c r="O14" s="135" t="s">
        <v>70</v>
      </c>
      <c r="P14" s="136" t="s">
        <v>46</v>
      </c>
      <c r="Q14" s="137" t="s">
        <v>46</v>
      </c>
      <c r="R14" s="137" t="s">
        <v>46</v>
      </c>
      <c r="S14" s="137" t="s">
        <v>46</v>
      </c>
      <c r="T14" s="135" t="s">
        <v>187</v>
      </c>
      <c r="U14" s="136" t="s">
        <v>58</v>
      </c>
      <c r="V14" s="137" t="s">
        <v>46</v>
      </c>
      <c r="W14" s="135" t="s">
        <v>66</v>
      </c>
      <c r="X14" s="138" t="s">
        <v>58</v>
      </c>
      <c r="Y14" s="137" t="s">
        <v>46</v>
      </c>
      <c r="Z14" s="137" t="s">
        <v>46</v>
      </c>
      <c r="AA14" s="137" t="s">
        <v>46</v>
      </c>
      <c r="AB14" s="52">
        <f>7.5/((AB5/(1000*2))*(AB5/(1000*2))*PI()*3600)</f>
        <v>3.585346000304015</v>
      </c>
      <c r="AC14" s="130">
        <f t="shared" ref="AC14:AH14" si="13">7.5/((AC5/(1000*2))*(AC5/(1000*2))*PI()*3600)</f>
        <v>2.1048064946359237</v>
      </c>
      <c r="AD14" s="131">
        <f t="shared" si="13"/>
        <v>1.5626958153837085</v>
      </c>
      <c r="AE14" s="52">
        <f t="shared" si="13"/>
        <v>0.95509737365018477</v>
      </c>
      <c r="AF14" s="52">
        <f t="shared" si="13"/>
        <v>0.61079862689478093</v>
      </c>
      <c r="AG14" s="52">
        <f t="shared" si="13"/>
        <v>0.43487737492477768</v>
      </c>
      <c r="AH14" s="52">
        <f t="shared" si="13"/>
        <v>0.25346477592736771</v>
      </c>
      <c r="AI14" s="51" t="s">
        <v>245</v>
      </c>
      <c r="AJ14" s="51" t="s">
        <v>245</v>
      </c>
      <c r="AK14" s="51" t="s">
        <v>246</v>
      </c>
    </row>
    <row r="15" spans="2:37" s="40" customFormat="1" ht="34.5" hidden="1" customHeight="1" thickBot="1">
      <c r="B15" s="227"/>
      <c r="C15" s="235"/>
      <c r="D15" s="56" t="s">
        <v>67</v>
      </c>
      <c r="E15" s="118"/>
      <c r="F15" s="119">
        <v>15</v>
      </c>
      <c r="G15" s="120" t="s">
        <v>68</v>
      </c>
      <c r="H15" s="52"/>
      <c r="I15" s="52"/>
      <c r="J15" s="52"/>
      <c r="K15" s="129"/>
      <c r="L15" s="128"/>
      <c r="M15" s="128"/>
      <c r="N15" s="126"/>
      <c r="O15" s="139" t="s">
        <v>64</v>
      </c>
      <c r="P15" s="140" t="s">
        <v>51</v>
      </c>
      <c r="Q15" s="121" t="s">
        <v>46</v>
      </c>
      <c r="R15" s="141" t="s">
        <v>46</v>
      </c>
      <c r="S15" s="141"/>
      <c r="T15" s="139" t="s">
        <v>65</v>
      </c>
      <c r="U15" s="140" t="s">
        <v>58</v>
      </c>
      <c r="V15" s="141"/>
      <c r="W15" s="139" t="s">
        <v>66</v>
      </c>
      <c r="X15" s="142" t="s">
        <v>58</v>
      </c>
      <c r="Y15" s="141"/>
      <c r="Z15" s="141" t="s">
        <v>51</v>
      </c>
      <c r="AA15" s="141" t="s">
        <v>46</v>
      </c>
      <c r="AB15" s="52"/>
      <c r="AC15" s="130"/>
      <c r="AD15" s="131"/>
      <c r="AE15" s="52"/>
      <c r="AF15" s="52"/>
      <c r="AG15" s="52"/>
      <c r="AH15" s="52"/>
      <c r="AI15" s="155"/>
      <c r="AJ15" s="155"/>
      <c r="AK15" s="155"/>
    </row>
    <row r="16" spans="2:37" ht="34.5" customHeight="1">
      <c r="B16" s="227"/>
      <c r="C16" s="235"/>
      <c r="D16" s="55" t="s">
        <v>69</v>
      </c>
      <c r="E16" s="115" t="s">
        <v>78</v>
      </c>
      <c r="F16" s="116" t="s">
        <v>215</v>
      </c>
      <c r="G16" s="117" t="s">
        <v>68</v>
      </c>
      <c r="H16" s="52">
        <f>18/((H5/(1000*2))*(H5/(1000*2))*PI()*3600)</f>
        <v>8.6048304007296359</v>
      </c>
      <c r="I16" s="52">
        <f t="shared" ref="I16:N16" si="14">18/((I5/(1000*2))*(I5/(1000*2))*PI()*3600)</f>
        <v>5.0515355871262164</v>
      </c>
      <c r="J16" s="52">
        <f t="shared" si="14"/>
        <v>3.7504699569209006</v>
      </c>
      <c r="K16" s="130">
        <f t="shared" si="14"/>
        <v>2.2922336967604435</v>
      </c>
      <c r="L16" s="133">
        <f t="shared" si="14"/>
        <v>1.4659167045474741</v>
      </c>
      <c r="M16" s="133">
        <f t="shared" si="14"/>
        <v>1.0437056998194665</v>
      </c>
      <c r="N16" s="131">
        <f t="shared" si="14"/>
        <v>0.60831546222568256</v>
      </c>
      <c r="O16" s="116" t="s">
        <v>80</v>
      </c>
      <c r="P16" s="115" t="s">
        <v>78</v>
      </c>
      <c r="Q16" s="122" t="s">
        <v>46</v>
      </c>
      <c r="R16" s="115" t="s">
        <v>78</v>
      </c>
      <c r="S16" s="115" t="s">
        <v>78</v>
      </c>
      <c r="T16" s="116" t="s">
        <v>65</v>
      </c>
      <c r="U16" s="115" t="s">
        <v>58</v>
      </c>
      <c r="V16" s="115" t="s">
        <v>78</v>
      </c>
      <c r="W16" s="116" t="s">
        <v>71</v>
      </c>
      <c r="X16" s="117" t="s">
        <v>58</v>
      </c>
      <c r="Y16" s="143" t="s">
        <v>78</v>
      </c>
      <c r="Z16" s="115" t="s">
        <v>78</v>
      </c>
      <c r="AA16" s="115" t="s">
        <v>78</v>
      </c>
      <c r="AB16" s="52">
        <f>9/((AB5/(1000*2))*(AB5/(1000*2))*PI()*3600)</f>
        <v>4.3024152003648179</v>
      </c>
      <c r="AC16" s="130">
        <f t="shared" ref="AC16:AH16" si="15">9/((AC5/(1000*2))*(AC5/(1000*2))*PI()*3600)</f>
        <v>2.5257677935631082</v>
      </c>
      <c r="AD16" s="131">
        <f t="shared" si="15"/>
        <v>1.8752349784604503</v>
      </c>
      <c r="AE16" s="52">
        <f t="shared" si="15"/>
        <v>1.1461168483802218</v>
      </c>
      <c r="AF16" s="52">
        <f t="shared" si="15"/>
        <v>0.73295835227373707</v>
      </c>
      <c r="AG16" s="52">
        <f t="shared" si="15"/>
        <v>0.52185284990973324</v>
      </c>
      <c r="AH16" s="52">
        <f t="shared" si="15"/>
        <v>0.30415773111284128</v>
      </c>
      <c r="AI16" s="51" t="s">
        <v>245</v>
      </c>
      <c r="AJ16" s="51" t="s">
        <v>245</v>
      </c>
      <c r="AK16" s="51" t="s">
        <v>246</v>
      </c>
    </row>
    <row r="17" spans="2:37" ht="34.5" customHeight="1" thickBot="1">
      <c r="B17" s="227"/>
      <c r="C17" s="235"/>
      <c r="D17" s="55" t="s">
        <v>72</v>
      </c>
      <c r="E17" s="115" t="s">
        <v>78</v>
      </c>
      <c r="F17" s="116" t="s">
        <v>216</v>
      </c>
      <c r="G17" s="117" t="s">
        <v>68</v>
      </c>
      <c r="H17" s="52">
        <f>20/((H5/(1000*2))*(H5/(1000*2))*PI()*3600)</f>
        <v>9.5609226674773726</v>
      </c>
      <c r="I17" s="52">
        <f t="shared" ref="I17:N17" si="16">20/((I5/(1000*2))*(I5/(1000*2))*PI()*3600)</f>
        <v>5.6128173190291299</v>
      </c>
      <c r="J17" s="52">
        <f t="shared" si="16"/>
        <v>4.167188841023223</v>
      </c>
      <c r="K17" s="130">
        <f t="shared" si="16"/>
        <v>2.546926329733826</v>
      </c>
      <c r="L17" s="133">
        <f t="shared" si="16"/>
        <v>1.6287963383860824</v>
      </c>
      <c r="M17" s="133">
        <f t="shared" si="16"/>
        <v>1.1596729997994073</v>
      </c>
      <c r="N17" s="131">
        <f t="shared" si="16"/>
        <v>0.67590606913964724</v>
      </c>
      <c r="O17" s="116" t="s">
        <v>80</v>
      </c>
      <c r="P17" s="115" t="s">
        <v>78</v>
      </c>
      <c r="Q17" s="122" t="s">
        <v>46</v>
      </c>
      <c r="R17" s="115" t="s">
        <v>78</v>
      </c>
      <c r="S17" s="115" t="s">
        <v>78</v>
      </c>
      <c r="T17" s="116" t="s">
        <v>65</v>
      </c>
      <c r="U17" s="115" t="s">
        <v>58</v>
      </c>
      <c r="V17" s="115" t="s">
        <v>78</v>
      </c>
      <c r="W17" s="116" t="s">
        <v>71</v>
      </c>
      <c r="X17" s="117" t="s">
        <v>58</v>
      </c>
      <c r="Y17" s="143" t="s">
        <v>78</v>
      </c>
      <c r="Z17" s="115" t="s">
        <v>78</v>
      </c>
      <c r="AA17" s="115" t="s">
        <v>78</v>
      </c>
      <c r="AB17" s="52">
        <f>10/((AB5/(1000*2))*(AB5/(1000*2))*PI()*3600)</f>
        <v>4.7804613337386863</v>
      </c>
      <c r="AC17" s="130">
        <f t="shared" ref="AC17:AH17" si="17">10/((AC5/(1000*2))*(AC5/(1000*2))*PI()*3600)</f>
        <v>2.806408659514565</v>
      </c>
      <c r="AD17" s="132">
        <f t="shared" si="17"/>
        <v>2.0835944205116115</v>
      </c>
      <c r="AE17" s="167">
        <f t="shared" si="17"/>
        <v>1.273463164866913</v>
      </c>
      <c r="AF17" s="167">
        <f t="shared" si="17"/>
        <v>0.8143981691930412</v>
      </c>
      <c r="AG17" s="167">
        <f t="shared" si="17"/>
        <v>0.57983649989970365</v>
      </c>
      <c r="AH17" s="167">
        <f t="shared" si="17"/>
        <v>0.33795303456982362</v>
      </c>
      <c r="AI17" s="160" t="s">
        <v>245</v>
      </c>
      <c r="AJ17" s="160" t="s">
        <v>245</v>
      </c>
      <c r="AK17" s="160" t="s">
        <v>246</v>
      </c>
    </row>
    <row r="18" spans="2:37" ht="34.5" customHeight="1">
      <c r="B18" s="227"/>
      <c r="C18" s="235"/>
      <c r="D18" s="55" t="s">
        <v>235</v>
      </c>
      <c r="E18" s="115" t="s">
        <v>88</v>
      </c>
      <c r="F18" s="116" t="s">
        <v>217</v>
      </c>
      <c r="G18" s="117" t="s">
        <v>79</v>
      </c>
      <c r="H18" s="52">
        <f>24/((H5/(1000*2))*(H5/(1000*2))*PI()*3600)</f>
        <v>11.473107200972848</v>
      </c>
      <c r="I18" s="52">
        <f t="shared" ref="I18:N18" si="18">24/((I5/(1000*2))*(I5/(1000*2))*PI()*3600)</f>
        <v>6.7353807828349561</v>
      </c>
      <c r="J18" s="52">
        <f t="shared" si="18"/>
        <v>5.0006266092278677</v>
      </c>
      <c r="K18" s="130">
        <f t="shared" si="18"/>
        <v>3.0563115956805915</v>
      </c>
      <c r="L18" s="133">
        <f t="shared" si="18"/>
        <v>1.9545556060632989</v>
      </c>
      <c r="M18" s="133">
        <f t="shared" si="18"/>
        <v>1.3916075997592887</v>
      </c>
      <c r="N18" s="131">
        <f t="shared" si="18"/>
        <v>0.81108728296757671</v>
      </c>
      <c r="O18" s="116" t="s">
        <v>80</v>
      </c>
      <c r="P18" s="115" t="s">
        <v>78</v>
      </c>
      <c r="Q18" s="122" t="s">
        <v>46</v>
      </c>
      <c r="R18" s="115" t="s">
        <v>78</v>
      </c>
      <c r="S18" s="115" t="s">
        <v>78</v>
      </c>
      <c r="T18" s="116" t="s">
        <v>188</v>
      </c>
      <c r="U18" s="115" t="s">
        <v>75</v>
      </c>
      <c r="V18" s="115" t="s">
        <v>78</v>
      </c>
      <c r="W18" s="116" t="s">
        <v>76</v>
      </c>
      <c r="X18" s="117" t="s">
        <v>75</v>
      </c>
      <c r="Y18" s="143" t="s">
        <v>78</v>
      </c>
      <c r="Z18" s="115" t="s">
        <v>78</v>
      </c>
      <c r="AA18" s="115" t="s">
        <v>78</v>
      </c>
      <c r="AB18" s="52">
        <f>12/((AB5/(1000*2))*(AB5/(1000*2))*PI()*3600)</f>
        <v>5.7365536004864239</v>
      </c>
      <c r="AC18" s="52">
        <f t="shared" ref="AC18:AH18" si="19">12/((AC5/(1000*2))*(AC5/(1000*2))*PI()*3600)</f>
        <v>3.3676903914174781</v>
      </c>
      <c r="AD18" s="129">
        <f t="shared" si="19"/>
        <v>2.5003133046139339</v>
      </c>
      <c r="AE18" s="126">
        <f t="shared" si="19"/>
        <v>1.5281557978402958</v>
      </c>
      <c r="AF18" s="165">
        <f t="shared" si="19"/>
        <v>0.97727780303164946</v>
      </c>
      <c r="AG18" s="165">
        <f t="shared" si="19"/>
        <v>0.69580379987964436</v>
      </c>
      <c r="AH18" s="165">
        <f t="shared" si="19"/>
        <v>0.40554364148378835</v>
      </c>
      <c r="AI18" s="50" t="s">
        <v>246</v>
      </c>
      <c r="AJ18" s="50" t="s">
        <v>246</v>
      </c>
      <c r="AK18" s="50" t="s">
        <v>246</v>
      </c>
    </row>
    <row r="19" spans="2:37" s="40" customFormat="1" ht="34.5" hidden="1" customHeight="1">
      <c r="B19" s="227"/>
      <c r="C19" s="235"/>
      <c r="D19" s="56" t="s">
        <v>73</v>
      </c>
      <c r="E19" s="118"/>
      <c r="F19" s="119">
        <v>24</v>
      </c>
      <c r="G19" s="120" t="s">
        <v>79</v>
      </c>
      <c r="H19" s="52"/>
      <c r="I19" s="52"/>
      <c r="J19" s="52"/>
      <c r="K19" s="130"/>
      <c r="L19" s="133"/>
      <c r="M19" s="133"/>
      <c r="N19" s="131"/>
      <c r="O19" s="119" t="s">
        <v>70</v>
      </c>
      <c r="P19" s="118" t="s">
        <v>46</v>
      </c>
      <c r="Q19" s="122" t="s">
        <v>46</v>
      </c>
      <c r="R19" s="118" t="s">
        <v>46</v>
      </c>
      <c r="S19" s="118" t="s">
        <v>46</v>
      </c>
      <c r="T19" s="119" t="s">
        <v>74</v>
      </c>
      <c r="U19" s="118" t="s">
        <v>75</v>
      </c>
      <c r="V19" s="118" t="s">
        <v>46</v>
      </c>
      <c r="W19" s="119" t="s">
        <v>76</v>
      </c>
      <c r="X19" s="120" t="s">
        <v>75</v>
      </c>
      <c r="Y19" s="144" t="s">
        <v>46</v>
      </c>
      <c r="Z19" s="118" t="s">
        <v>46</v>
      </c>
      <c r="AA19" s="118" t="s">
        <v>46</v>
      </c>
      <c r="AB19" s="52"/>
      <c r="AC19" s="52"/>
      <c r="AD19" s="130"/>
      <c r="AE19" s="131"/>
      <c r="AF19" s="52"/>
      <c r="AG19" s="52"/>
      <c r="AH19" s="52"/>
      <c r="AI19" s="155"/>
      <c r="AJ19" s="155"/>
      <c r="AK19" s="155"/>
    </row>
    <row r="20" spans="2:37" ht="34.5" customHeight="1" thickBot="1">
      <c r="B20" s="227"/>
      <c r="C20" s="235"/>
      <c r="D20" s="55" t="s">
        <v>167</v>
      </c>
      <c r="E20" s="115" t="s">
        <v>88</v>
      </c>
      <c r="F20" s="116" t="s">
        <v>218</v>
      </c>
      <c r="G20" s="117" t="s">
        <v>79</v>
      </c>
      <c r="H20" s="52">
        <f>25/((H5/(1000*2))*(H5/(1000*2))*PI()*3600)</f>
        <v>11.951153334346715</v>
      </c>
      <c r="I20" s="52">
        <f t="shared" ref="I20:N20" si="20">25/((I5/(1000*2))*(I5/(1000*2))*PI()*3600)</f>
        <v>7.0160216487864124</v>
      </c>
      <c r="J20" s="52">
        <f t="shared" si="20"/>
        <v>5.2089860512790285</v>
      </c>
      <c r="K20" s="130">
        <f t="shared" si="20"/>
        <v>3.1836579121672828</v>
      </c>
      <c r="L20" s="134">
        <f t="shared" si="20"/>
        <v>2.0359954229826029</v>
      </c>
      <c r="M20" s="134">
        <f t="shared" si="20"/>
        <v>1.4495912497492589</v>
      </c>
      <c r="N20" s="132">
        <f t="shared" si="20"/>
        <v>0.84488258642455916</v>
      </c>
      <c r="O20" s="135" t="s">
        <v>80</v>
      </c>
      <c r="P20" s="136" t="s">
        <v>78</v>
      </c>
      <c r="Q20" s="137" t="s">
        <v>46</v>
      </c>
      <c r="R20" s="136" t="s">
        <v>78</v>
      </c>
      <c r="S20" s="136" t="s">
        <v>78</v>
      </c>
      <c r="T20" s="135" t="s">
        <v>189</v>
      </c>
      <c r="U20" s="136" t="s">
        <v>75</v>
      </c>
      <c r="V20" s="136" t="s">
        <v>78</v>
      </c>
      <c r="W20" s="135" t="s">
        <v>76</v>
      </c>
      <c r="X20" s="138" t="s">
        <v>75</v>
      </c>
      <c r="Y20" s="146" t="s">
        <v>78</v>
      </c>
      <c r="Z20" s="136" t="s">
        <v>78</v>
      </c>
      <c r="AA20" s="136" t="s">
        <v>78</v>
      </c>
      <c r="AB20" s="52">
        <f>12.5/((AB5/(1000*2))*(AB5/(1000*2))*PI()*3600)</f>
        <v>5.9755766671733577</v>
      </c>
      <c r="AC20" s="52">
        <f t="shared" ref="AC20:AH20" si="21">12.5/((AC5/(1000*2))*(AC5/(1000*2))*PI()*3600)</f>
        <v>3.5080108243932062</v>
      </c>
      <c r="AD20" s="130">
        <f t="shared" si="21"/>
        <v>2.6044930256395142</v>
      </c>
      <c r="AE20" s="131">
        <f t="shared" si="21"/>
        <v>1.5918289560836414</v>
      </c>
      <c r="AF20" s="52">
        <f t="shared" si="21"/>
        <v>1.0179977114913015</v>
      </c>
      <c r="AG20" s="52">
        <f t="shared" si="21"/>
        <v>0.72479562487462945</v>
      </c>
      <c r="AH20" s="52">
        <f t="shared" si="21"/>
        <v>0.42244129321227958</v>
      </c>
      <c r="AI20" s="51" t="s">
        <v>246</v>
      </c>
      <c r="AJ20" s="51" t="s">
        <v>246</v>
      </c>
      <c r="AK20" s="51" t="s">
        <v>246</v>
      </c>
    </row>
    <row r="21" spans="2:37" ht="34.5" customHeight="1">
      <c r="B21" s="227"/>
      <c r="C21" s="235"/>
      <c r="D21" s="55" t="s">
        <v>77</v>
      </c>
      <c r="E21" s="115" t="s">
        <v>88</v>
      </c>
      <c r="F21" s="116" t="s">
        <v>219</v>
      </c>
      <c r="G21" s="117" t="s">
        <v>79</v>
      </c>
      <c r="H21" s="52">
        <f>26/((H5/(1000*2))*(H5/(1000*2))*PI()*3600)</f>
        <v>12.429199467720585</v>
      </c>
      <c r="I21" s="52">
        <f t="shared" ref="I21:N21" si="22">26/((I5/(1000*2))*(I5/(1000*2))*PI()*3600)</f>
        <v>7.2966625147378688</v>
      </c>
      <c r="J21" s="52">
        <f t="shared" si="22"/>
        <v>5.4173454933301901</v>
      </c>
      <c r="K21" s="52">
        <f t="shared" si="22"/>
        <v>3.311004228653974</v>
      </c>
      <c r="L21" s="129">
        <f t="shared" si="22"/>
        <v>2.1174352399019072</v>
      </c>
      <c r="M21" s="128">
        <f t="shared" si="22"/>
        <v>1.5075748997392293</v>
      </c>
      <c r="N21" s="126">
        <f t="shared" si="22"/>
        <v>0.8786778898815415</v>
      </c>
      <c r="O21" s="113" t="s">
        <v>89</v>
      </c>
      <c r="P21" s="112" t="s">
        <v>88</v>
      </c>
      <c r="Q21" s="121" t="s">
        <v>46</v>
      </c>
      <c r="R21" s="112" t="s">
        <v>88</v>
      </c>
      <c r="S21" s="112" t="s">
        <v>88</v>
      </c>
      <c r="T21" s="113" t="s">
        <v>74</v>
      </c>
      <c r="U21" s="112" t="s">
        <v>75</v>
      </c>
      <c r="V21" s="112" t="s">
        <v>88</v>
      </c>
      <c r="W21" s="113" t="s">
        <v>76</v>
      </c>
      <c r="X21" s="114" t="s">
        <v>75</v>
      </c>
      <c r="Y21" s="147" t="s">
        <v>88</v>
      </c>
      <c r="Z21" s="112" t="s">
        <v>88</v>
      </c>
      <c r="AA21" s="112" t="s">
        <v>88</v>
      </c>
      <c r="AB21" s="52">
        <f>13/((AB5/(1000*2))*(AB5/(1000*2))*PI()*3600)</f>
        <v>6.2145997338602923</v>
      </c>
      <c r="AC21" s="52">
        <f t="shared" ref="AC21:AH21" si="23">13/((AC5/(1000*2))*(AC5/(1000*2))*PI()*3600)</f>
        <v>3.6483312573689344</v>
      </c>
      <c r="AD21" s="130">
        <f t="shared" si="23"/>
        <v>2.7086727466650951</v>
      </c>
      <c r="AE21" s="131">
        <f t="shared" si="23"/>
        <v>1.655502114326987</v>
      </c>
      <c r="AF21" s="52">
        <f t="shared" si="23"/>
        <v>1.0587176199509536</v>
      </c>
      <c r="AG21" s="52">
        <f t="shared" si="23"/>
        <v>0.75378744986961466</v>
      </c>
      <c r="AH21" s="52">
        <f t="shared" si="23"/>
        <v>0.43933894494077075</v>
      </c>
      <c r="AI21" s="51" t="s">
        <v>246</v>
      </c>
      <c r="AJ21" s="51" t="s">
        <v>246</v>
      </c>
      <c r="AK21" s="51" t="s">
        <v>246</v>
      </c>
    </row>
    <row r="22" spans="2:37" ht="34.5" customHeight="1" thickBot="1">
      <c r="B22" s="227"/>
      <c r="C22" s="235"/>
      <c r="D22" s="55" t="s">
        <v>81</v>
      </c>
      <c r="E22" s="115" t="s">
        <v>88</v>
      </c>
      <c r="F22" s="116" t="s">
        <v>220</v>
      </c>
      <c r="G22" s="117" t="s">
        <v>79</v>
      </c>
      <c r="H22" s="52">
        <f>30/((H5/(1000*2))*(H5/(1000*2))*PI()*3600)</f>
        <v>14.34138400121606</v>
      </c>
      <c r="I22" s="52">
        <f t="shared" ref="I22:N22" si="24">30/((I5/(1000*2))*(I5/(1000*2))*PI()*3600)</f>
        <v>8.4192259785436949</v>
      </c>
      <c r="J22" s="52">
        <f t="shared" si="24"/>
        <v>6.250783261534834</v>
      </c>
      <c r="K22" s="52">
        <f t="shared" si="24"/>
        <v>3.8203894946007391</v>
      </c>
      <c r="L22" s="130">
        <f t="shared" si="24"/>
        <v>2.4431945075791237</v>
      </c>
      <c r="M22" s="133">
        <f t="shared" si="24"/>
        <v>1.7395094996991107</v>
      </c>
      <c r="N22" s="131">
        <f t="shared" si="24"/>
        <v>1.0138591037094709</v>
      </c>
      <c r="O22" s="116" t="s">
        <v>89</v>
      </c>
      <c r="P22" s="115" t="s">
        <v>88</v>
      </c>
      <c r="Q22" s="122" t="s">
        <v>46</v>
      </c>
      <c r="R22" s="115" t="s">
        <v>88</v>
      </c>
      <c r="S22" s="115" t="s">
        <v>88</v>
      </c>
      <c r="T22" s="116" t="s">
        <v>74</v>
      </c>
      <c r="U22" s="115" t="s">
        <v>75</v>
      </c>
      <c r="V22" s="115" t="s">
        <v>88</v>
      </c>
      <c r="W22" s="116" t="s">
        <v>76</v>
      </c>
      <c r="X22" s="117" t="s">
        <v>75</v>
      </c>
      <c r="Y22" s="143" t="s">
        <v>88</v>
      </c>
      <c r="Z22" s="115" t="s">
        <v>88</v>
      </c>
      <c r="AA22" s="115" t="s">
        <v>88</v>
      </c>
      <c r="AB22" s="52">
        <f>15/((AB5/(1000*2))*(AB5/(1000*2))*PI()*3600)</f>
        <v>7.1706920006080299</v>
      </c>
      <c r="AC22" s="52">
        <f t="shared" ref="AC22:AH22" si="25">15/((AC5/(1000*2))*(AC5/(1000*2))*PI()*3600)</f>
        <v>4.2096129892718475</v>
      </c>
      <c r="AD22" s="130">
        <f t="shared" si="25"/>
        <v>3.125391630767417</v>
      </c>
      <c r="AE22" s="132">
        <f t="shared" si="25"/>
        <v>1.9101947473003695</v>
      </c>
      <c r="AF22" s="167">
        <f t="shared" si="25"/>
        <v>1.2215972537895619</v>
      </c>
      <c r="AG22" s="167">
        <f t="shared" si="25"/>
        <v>0.86975474984955536</v>
      </c>
      <c r="AH22" s="167">
        <f t="shared" si="25"/>
        <v>0.50692955185473543</v>
      </c>
      <c r="AI22" s="160" t="s">
        <v>246</v>
      </c>
      <c r="AJ22" s="160" t="s">
        <v>246</v>
      </c>
      <c r="AK22" s="160" t="s">
        <v>246</v>
      </c>
    </row>
    <row r="23" spans="2:37" s="34" customFormat="1" ht="34.5" customHeight="1">
      <c r="B23" s="227"/>
      <c r="C23" s="235"/>
      <c r="D23" s="55" t="s">
        <v>168</v>
      </c>
      <c r="E23" s="115" t="s">
        <v>98</v>
      </c>
      <c r="F23" s="116" t="s">
        <v>221</v>
      </c>
      <c r="G23" s="117" t="s">
        <v>186</v>
      </c>
      <c r="H23" s="52">
        <f>35/((H5/(1000*2))*(H5/(1000*2))*PI()*3600)</f>
        <v>16.731614668085403</v>
      </c>
      <c r="I23" s="52">
        <f t="shared" ref="I23:N23" si="26">35/((I5/(1000*2))*(I5/(1000*2))*PI()*3600)</f>
        <v>9.8224303083009765</v>
      </c>
      <c r="J23" s="52">
        <f t="shared" si="26"/>
        <v>7.2925804717906404</v>
      </c>
      <c r="K23" s="52">
        <f t="shared" si="26"/>
        <v>4.4571210770341958</v>
      </c>
      <c r="L23" s="130">
        <f t="shared" si="26"/>
        <v>2.850393592175644</v>
      </c>
      <c r="M23" s="133">
        <f t="shared" si="26"/>
        <v>2.0294277496489626</v>
      </c>
      <c r="N23" s="131">
        <f t="shared" si="26"/>
        <v>1.1828356209943827</v>
      </c>
      <c r="O23" s="116" t="s">
        <v>89</v>
      </c>
      <c r="P23" s="115" t="s">
        <v>88</v>
      </c>
      <c r="Q23" s="122" t="s">
        <v>46</v>
      </c>
      <c r="R23" s="115" t="s">
        <v>88</v>
      </c>
      <c r="S23" s="115" t="s">
        <v>88</v>
      </c>
      <c r="T23" s="116" t="s">
        <v>190</v>
      </c>
      <c r="U23" s="115" t="s">
        <v>85</v>
      </c>
      <c r="V23" s="115" t="s">
        <v>88</v>
      </c>
      <c r="W23" s="116" t="s">
        <v>86</v>
      </c>
      <c r="X23" s="117" t="s">
        <v>85</v>
      </c>
      <c r="Y23" s="143" t="s">
        <v>88</v>
      </c>
      <c r="Z23" s="115" t="s">
        <v>88</v>
      </c>
      <c r="AA23" s="115" t="s">
        <v>88</v>
      </c>
      <c r="AB23" s="52">
        <f>35/2/((AB5/(1000*2))*(AB5/(1000*2))*PI()*3600)</f>
        <v>8.3658073340427013</v>
      </c>
      <c r="AC23" s="52">
        <f t="shared" ref="AC23:AH23" si="27">35/2/((AC5/(1000*2))*(AC5/(1000*2))*PI()*3600)</f>
        <v>4.9112151541504883</v>
      </c>
      <c r="AD23" s="52">
        <f t="shared" si="27"/>
        <v>3.6462902358953202</v>
      </c>
      <c r="AE23" s="129">
        <f t="shared" si="27"/>
        <v>2.2285605385170979</v>
      </c>
      <c r="AF23" s="126">
        <f t="shared" si="27"/>
        <v>1.425196796087822</v>
      </c>
      <c r="AG23" s="165">
        <f t="shared" si="27"/>
        <v>1.0147138748244813</v>
      </c>
      <c r="AH23" s="165">
        <f t="shared" si="27"/>
        <v>0.59141781049719133</v>
      </c>
      <c r="AI23" s="50" t="s">
        <v>247</v>
      </c>
      <c r="AJ23" s="50" t="s">
        <v>247</v>
      </c>
      <c r="AK23" s="50" t="s">
        <v>247</v>
      </c>
    </row>
    <row r="24" spans="2:37" ht="34.5" customHeight="1" thickBot="1">
      <c r="B24" s="227"/>
      <c r="C24" s="235"/>
      <c r="D24" s="55" t="s">
        <v>82</v>
      </c>
      <c r="E24" s="115" t="s">
        <v>98</v>
      </c>
      <c r="F24" s="116" t="s">
        <v>222</v>
      </c>
      <c r="G24" s="117" t="s">
        <v>83</v>
      </c>
      <c r="H24" s="52">
        <f>36/((H5/(1000*2))*(H5/(1000*2))*PI()*3600)</f>
        <v>17.209660801459272</v>
      </c>
      <c r="I24" s="52">
        <f t="shared" ref="I24:N24" si="28">36/((I5/(1000*2))*(I5/(1000*2))*PI()*3600)</f>
        <v>10.103071174252433</v>
      </c>
      <c r="J24" s="52">
        <f t="shared" si="28"/>
        <v>7.5009399138418011</v>
      </c>
      <c r="K24" s="52">
        <f t="shared" si="28"/>
        <v>4.5844673935208871</v>
      </c>
      <c r="L24" s="130">
        <f t="shared" si="28"/>
        <v>2.9318334090949483</v>
      </c>
      <c r="M24" s="134">
        <f t="shared" si="28"/>
        <v>2.087411399638933</v>
      </c>
      <c r="N24" s="132">
        <f t="shared" si="28"/>
        <v>1.2166309244513651</v>
      </c>
      <c r="O24" s="135" t="s">
        <v>89</v>
      </c>
      <c r="P24" s="136" t="s">
        <v>88</v>
      </c>
      <c r="Q24" s="137" t="s">
        <v>46</v>
      </c>
      <c r="R24" s="136" t="s">
        <v>88</v>
      </c>
      <c r="S24" s="136" t="s">
        <v>88</v>
      </c>
      <c r="T24" s="135" t="s">
        <v>84</v>
      </c>
      <c r="U24" s="136" t="s">
        <v>85</v>
      </c>
      <c r="V24" s="136" t="s">
        <v>88</v>
      </c>
      <c r="W24" s="135" t="s">
        <v>86</v>
      </c>
      <c r="X24" s="138" t="s">
        <v>85</v>
      </c>
      <c r="Y24" s="146" t="s">
        <v>88</v>
      </c>
      <c r="Z24" s="136" t="s">
        <v>88</v>
      </c>
      <c r="AA24" s="136" t="s">
        <v>88</v>
      </c>
      <c r="AB24" s="52">
        <f>36/2/((AB5/(1000*2))*(AB5/(1000*2))*PI()*3600)</f>
        <v>8.6048304007296359</v>
      </c>
      <c r="AC24" s="52">
        <f t="shared" ref="AC24:AH24" si="29">36/2/((AC5/(1000*2))*(AC5/(1000*2))*PI()*3600)</f>
        <v>5.0515355871262164</v>
      </c>
      <c r="AD24" s="52">
        <f t="shared" si="29"/>
        <v>3.7504699569209006</v>
      </c>
      <c r="AE24" s="130">
        <f t="shared" si="29"/>
        <v>2.2922336967604435</v>
      </c>
      <c r="AF24" s="131">
        <f t="shared" si="29"/>
        <v>1.4659167045474741</v>
      </c>
      <c r="AG24" s="52">
        <f t="shared" si="29"/>
        <v>1.0437056998194665</v>
      </c>
      <c r="AH24" s="52">
        <f t="shared" si="29"/>
        <v>0.60831546222568256</v>
      </c>
      <c r="AI24" s="51" t="s">
        <v>247</v>
      </c>
      <c r="AJ24" s="51" t="s">
        <v>247</v>
      </c>
      <c r="AK24" s="51" t="s">
        <v>247</v>
      </c>
    </row>
    <row r="25" spans="2:37" ht="34.5" customHeight="1">
      <c r="B25" s="227"/>
      <c r="C25" s="236"/>
      <c r="D25" s="55" t="s">
        <v>87</v>
      </c>
      <c r="E25" s="115" t="s">
        <v>98</v>
      </c>
      <c r="F25" s="116" t="s">
        <v>223</v>
      </c>
      <c r="G25" s="117" t="s">
        <v>83</v>
      </c>
      <c r="H25" s="52">
        <f>40/((H5/(1000*2))*(H5/(1000*2))*PI()*3600)</f>
        <v>19.121845334954745</v>
      </c>
      <c r="I25" s="52">
        <f t="shared" ref="I25:N25" si="30">40/((I5/(1000*2))*(I5/(1000*2))*PI()*3600)</f>
        <v>11.22563463805826</v>
      </c>
      <c r="J25" s="52">
        <f t="shared" si="30"/>
        <v>8.3343776820464459</v>
      </c>
      <c r="K25" s="52">
        <f t="shared" si="30"/>
        <v>5.0938526594676521</v>
      </c>
      <c r="L25" s="52">
        <f t="shared" si="30"/>
        <v>3.2575926767721648</v>
      </c>
      <c r="M25" s="129">
        <f t="shared" si="30"/>
        <v>2.3193459995988146</v>
      </c>
      <c r="N25" s="126">
        <f t="shared" si="30"/>
        <v>1.3518121382792945</v>
      </c>
      <c r="O25" s="116" t="s">
        <v>99</v>
      </c>
      <c r="P25" s="115" t="s">
        <v>98</v>
      </c>
      <c r="Q25" s="121" t="s">
        <v>46</v>
      </c>
      <c r="R25" s="115" t="s">
        <v>98</v>
      </c>
      <c r="S25" s="115" t="s">
        <v>98</v>
      </c>
      <c r="T25" s="113" t="s">
        <v>84</v>
      </c>
      <c r="U25" s="112" t="s">
        <v>85</v>
      </c>
      <c r="V25" s="115" t="s">
        <v>98</v>
      </c>
      <c r="W25" s="113" t="s">
        <v>86</v>
      </c>
      <c r="X25" s="114" t="s">
        <v>85</v>
      </c>
      <c r="Y25" s="143" t="s">
        <v>98</v>
      </c>
      <c r="Z25" s="115" t="s">
        <v>98</v>
      </c>
      <c r="AA25" s="115" t="s">
        <v>98</v>
      </c>
      <c r="AB25" s="52">
        <f>40/2/((AB5/(1000*2))*(AB5/(1000*2))*PI()*3600)</f>
        <v>9.5609226674773726</v>
      </c>
      <c r="AC25" s="52">
        <f t="shared" ref="AC25:AH25" si="31">40/2/((AC5/(1000*2))*(AC5/(1000*2))*PI()*3600)</f>
        <v>5.6128173190291299</v>
      </c>
      <c r="AD25" s="52">
        <f t="shared" si="31"/>
        <v>4.167188841023223</v>
      </c>
      <c r="AE25" s="130">
        <f t="shared" si="31"/>
        <v>2.546926329733826</v>
      </c>
      <c r="AF25" s="131">
        <f t="shared" si="31"/>
        <v>1.6287963383860824</v>
      </c>
      <c r="AG25" s="52">
        <f t="shared" si="31"/>
        <v>1.1596729997994073</v>
      </c>
      <c r="AH25" s="52">
        <f t="shared" si="31"/>
        <v>0.67590606913964724</v>
      </c>
      <c r="AI25" s="51" t="s">
        <v>247</v>
      </c>
      <c r="AJ25" s="51" t="s">
        <v>247</v>
      </c>
      <c r="AK25" s="51" t="s">
        <v>247</v>
      </c>
    </row>
    <row r="26" spans="2:37" s="34" customFormat="1" ht="34.5" customHeight="1">
      <c r="B26" s="228"/>
      <c r="C26" s="173"/>
      <c r="D26" s="55" t="s">
        <v>169</v>
      </c>
      <c r="E26" s="115" t="s">
        <v>98</v>
      </c>
      <c r="F26" s="116" t="s">
        <v>224</v>
      </c>
      <c r="G26" s="117" t="s">
        <v>173</v>
      </c>
      <c r="H26" s="52">
        <f>45/((H5/(1000*2))*(H5/(1000*2))*PI()*3600)</f>
        <v>21.512076001824088</v>
      </c>
      <c r="I26" s="52">
        <f t="shared" ref="I26:N26" si="32">45/((I5/(1000*2))*(I5/(1000*2))*PI()*3600)</f>
        <v>12.628838967815541</v>
      </c>
      <c r="J26" s="52">
        <f t="shared" si="32"/>
        <v>9.3761748923022523</v>
      </c>
      <c r="K26" s="52">
        <f t="shared" si="32"/>
        <v>5.7305842419011084</v>
      </c>
      <c r="L26" s="52">
        <f t="shared" si="32"/>
        <v>3.6647917613686851</v>
      </c>
      <c r="M26" s="130">
        <f t="shared" si="32"/>
        <v>2.6092642495486662</v>
      </c>
      <c r="N26" s="131">
        <f t="shared" si="32"/>
        <v>1.5207886555642065</v>
      </c>
      <c r="O26" s="116" t="s">
        <v>99</v>
      </c>
      <c r="P26" s="115" t="s">
        <v>98</v>
      </c>
      <c r="Q26" s="122" t="s">
        <v>46</v>
      </c>
      <c r="R26" s="115" t="s">
        <v>98</v>
      </c>
      <c r="S26" s="115" t="s">
        <v>98</v>
      </c>
      <c r="T26" s="116" t="s">
        <v>191</v>
      </c>
      <c r="U26" s="115" t="s">
        <v>85</v>
      </c>
      <c r="V26" s="115" t="s">
        <v>98</v>
      </c>
      <c r="W26" s="116" t="s">
        <v>93</v>
      </c>
      <c r="X26" s="117" t="s">
        <v>94</v>
      </c>
      <c r="Y26" s="143" t="s">
        <v>98</v>
      </c>
      <c r="Z26" s="115" t="s">
        <v>98</v>
      </c>
      <c r="AA26" s="115" t="s">
        <v>98</v>
      </c>
      <c r="AB26" s="52">
        <f>45/2/((AB5/(1000*2))*(AB5/(1000*2))*PI()*3600)</f>
        <v>10.756038000912044</v>
      </c>
      <c r="AC26" s="52">
        <f t="shared" ref="AC26:AH26" si="33">45/2/((AC5/(1000*2))*(AC5/(1000*2))*PI()*3600)</f>
        <v>6.3144194839077707</v>
      </c>
      <c r="AD26" s="52">
        <f t="shared" si="33"/>
        <v>4.6880874461511262</v>
      </c>
      <c r="AE26" s="130">
        <f t="shared" si="33"/>
        <v>2.8652921209505542</v>
      </c>
      <c r="AF26" s="131">
        <f t="shared" si="33"/>
        <v>1.8323958806843426</v>
      </c>
      <c r="AG26" s="52">
        <f t="shared" si="33"/>
        <v>1.3046321247743331</v>
      </c>
      <c r="AH26" s="52">
        <f t="shared" si="33"/>
        <v>0.76039432778210325</v>
      </c>
      <c r="AI26" s="51" t="s">
        <v>247</v>
      </c>
      <c r="AJ26" s="51" t="s">
        <v>247</v>
      </c>
      <c r="AK26" s="51" t="s">
        <v>247</v>
      </c>
    </row>
    <row r="27" spans="2:37" ht="34.5" customHeight="1" thickBot="1">
      <c r="B27" s="228"/>
      <c r="C27" s="174"/>
      <c r="D27" s="55" t="s">
        <v>90</v>
      </c>
      <c r="E27" s="115" t="s">
        <v>98</v>
      </c>
      <c r="F27" s="116" t="s">
        <v>225</v>
      </c>
      <c r="G27" s="117" t="s">
        <v>91</v>
      </c>
      <c r="H27" s="52">
        <f>50/((H5/(1000*2))*(H5/(1000*2))*PI()*3600)</f>
        <v>23.902306668693431</v>
      </c>
      <c r="I27" s="52">
        <f t="shared" ref="I27:N27" si="34">50/((I5/(1000*2))*(I5/(1000*2))*PI()*3600)</f>
        <v>14.032043297572825</v>
      </c>
      <c r="J27" s="52">
        <f t="shared" si="34"/>
        <v>10.417972102558057</v>
      </c>
      <c r="K27" s="52">
        <f t="shared" si="34"/>
        <v>6.3673158243345656</v>
      </c>
      <c r="L27" s="52">
        <f t="shared" si="34"/>
        <v>4.0719908459652059</v>
      </c>
      <c r="M27" s="130">
        <f t="shared" si="34"/>
        <v>2.8991824994985178</v>
      </c>
      <c r="N27" s="131">
        <f t="shared" si="34"/>
        <v>1.6897651728491183</v>
      </c>
      <c r="O27" s="116" t="s">
        <v>99</v>
      </c>
      <c r="P27" s="115" t="s">
        <v>98</v>
      </c>
      <c r="Q27" s="115" t="s">
        <v>98</v>
      </c>
      <c r="R27" s="115" t="s">
        <v>98</v>
      </c>
      <c r="S27" s="115" t="s">
        <v>98</v>
      </c>
      <c r="T27" s="116" t="s">
        <v>92</v>
      </c>
      <c r="U27" s="115" t="s">
        <v>85</v>
      </c>
      <c r="V27" s="115" t="s">
        <v>98</v>
      </c>
      <c r="W27" s="116" t="s">
        <v>93</v>
      </c>
      <c r="X27" s="117" t="s">
        <v>94</v>
      </c>
      <c r="Y27" s="143" t="s">
        <v>98</v>
      </c>
      <c r="Z27" s="115" t="s">
        <v>98</v>
      </c>
      <c r="AA27" s="115" t="s">
        <v>98</v>
      </c>
      <c r="AB27" s="52">
        <f>50/2/((AB5/(1000*2))*(AB5/(1000*2))*PI()*3600)</f>
        <v>11.951153334346715</v>
      </c>
      <c r="AC27" s="52">
        <f t="shared" ref="AC27:AH27" si="35">50/2/((AC5/(1000*2))*(AC5/(1000*2))*PI()*3600)</f>
        <v>7.0160216487864124</v>
      </c>
      <c r="AD27" s="52">
        <f t="shared" si="35"/>
        <v>5.2089860512790285</v>
      </c>
      <c r="AE27" s="130">
        <f t="shared" si="35"/>
        <v>3.1836579121672828</v>
      </c>
      <c r="AF27" s="132">
        <f t="shared" si="35"/>
        <v>2.0359954229826029</v>
      </c>
      <c r="AG27" s="167">
        <f t="shared" si="35"/>
        <v>1.4495912497492589</v>
      </c>
      <c r="AH27" s="167">
        <f t="shared" si="35"/>
        <v>0.84488258642455916</v>
      </c>
      <c r="AI27" s="160" t="s">
        <v>247</v>
      </c>
      <c r="AJ27" s="160" t="s">
        <v>247</v>
      </c>
      <c r="AK27" s="160" t="s">
        <v>247</v>
      </c>
    </row>
    <row r="28" spans="2:37" ht="34.5" customHeight="1">
      <c r="B28" s="228"/>
      <c r="C28" s="174"/>
      <c r="D28" s="55" t="s">
        <v>95</v>
      </c>
      <c r="E28" s="115" t="s">
        <v>98</v>
      </c>
      <c r="F28" s="116" t="s">
        <v>226</v>
      </c>
      <c r="G28" s="117" t="s">
        <v>91</v>
      </c>
      <c r="H28" s="52">
        <f>52/((H5/(1000*2))*(H5/(1000*2))*PI()*3600)</f>
        <v>24.858398935441169</v>
      </c>
      <c r="I28" s="52">
        <f t="shared" ref="I28:N28" si="36">52/((I5/(1000*2))*(I5/(1000*2))*PI()*3600)</f>
        <v>14.593325029475738</v>
      </c>
      <c r="J28" s="52">
        <f t="shared" si="36"/>
        <v>10.83469098666038</v>
      </c>
      <c r="K28" s="52">
        <f t="shared" si="36"/>
        <v>6.6220084573079481</v>
      </c>
      <c r="L28" s="52">
        <f t="shared" si="36"/>
        <v>4.2348704798038144</v>
      </c>
      <c r="M28" s="130">
        <f t="shared" si="36"/>
        <v>3.0151497994784586</v>
      </c>
      <c r="N28" s="131">
        <f t="shared" si="36"/>
        <v>1.757355779763083</v>
      </c>
      <c r="O28" s="116" t="s">
        <v>99</v>
      </c>
      <c r="P28" s="115" t="s">
        <v>98</v>
      </c>
      <c r="Q28" s="115" t="s">
        <v>98</v>
      </c>
      <c r="R28" s="115" t="s">
        <v>98</v>
      </c>
      <c r="S28" s="115" t="s">
        <v>98</v>
      </c>
      <c r="T28" s="116" t="s">
        <v>192</v>
      </c>
      <c r="U28" s="115" t="s">
        <v>94</v>
      </c>
      <c r="V28" s="115" t="s">
        <v>98</v>
      </c>
      <c r="W28" s="116" t="s">
        <v>93</v>
      </c>
      <c r="X28" s="117" t="s">
        <v>94</v>
      </c>
      <c r="Y28" s="143" t="s">
        <v>98</v>
      </c>
      <c r="Z28" s="115" t="s">
        <v>98</v>
      </c>
      <c r="AA28" s="115" t="s">
        <v>98</v>
      </c>
      <c r="AB28" s="52">
        <f>52/2/((AB5/(1000*2))*(AB5/(1000*2))*PI()*3600)</f>
        <v>12.429199467720585</v>
      </c>
      <c r="AC28" s="52">
        <f t="shared" ref="AC28:AH28" si="37">52/2/((AC5/(1000*2))*(AC5/(1000*2))*PI()*3600)</f>
        <v>7.2966625147378688</v>
      </c>
      <c r="AD28" s="52">
        <f t="shared" si="37"/>
        <v>5.4173454933301901</v>
      </c>
      <c r="AE28" s="52">
        <f t="shared" si="37"/>
        <v>3.311004228653974</v>
      </c>
      <c r="AF28" s="129">
        <f t="shared" si="37"/>
        <v>2.1174352399019072</v>
      </c>
      <c r="AG28" s="126">
        <f t="shared" si="37"/>
        <v>1.5075748997392293</v>
      </c>
      <c r="AH28" s="165">
        <f t="shared" si="37"/>
        <v>0.8786778898815415</v>
      </c>
      <c r="AI28" s="50" t="s">
        <v>248</v>
      </c>
      <c r="AJ28" s="50" t="s">
        <v>248</v>
      </c>
      <c r="AK28" s="50" t="s">
        <v>248</v>
      </c>
    </row>
    <row r="29" spans="2:37" s="40" customFormat="1" ht="34.5" hidden="1" customHeight="1">
      <c r="B29" s="228"/>
      <c r="C29" s="174"/>
      <c r="D29" s="56" t="s">
        <v>95</v>
      </c>
      <c r="E29" s="115" t="s">
        <v>98</v>
      </c>
      <c r="F29" s="119">
        <v>52</v>
      </c>
      <c r="G29" s="120" t="s">
        <v>91</v>
      </c>
      <c r="H29" s="52"/>
      <c r="I29" s="52"/>
      <c r="J29" s="52"/>
      <c r="K29" s="52"/>
      <c r="L29" s="52"/>
      <c r="M29" s="130"/>
      <c r="N29" s="131"/>
      <c r="O29" s="119" t="s">
        <v>89</v>
      </c>
      <c r="P29" s="118" t="s">
        <v>88</v>
      </c>
      <c r="Q29" s="115" t="s">
        <v>98</v>
      </c>
      <c r="R29" s="118" t="s">
        <v>88</v>
      </c>
      <c r="S29" s="118" t="s">
        <v>88</v>
      </c>
      <c r="T29" s="119" t="s">
        <v>96</v>
      </c>
      <c r="U29" s="118" t="s">
        <v>94</v>
      </c>
      <c r="V29" s="118" t="s">
        <v>88</v>
      </c>
      <c r="W29" s="119" t="s">
        <v>93</v>
      </c>
      <c r="X29" s="120" t="s">
        <v>94</v>
      </c>
      <c r="Y29" s="144" t="s">
        <v>88</v>
      </c>
      <c r="Z29" s="118" t="s">
        <v>88</v>
      </c>
      <c r="AA29" s="118" t="s">
        <v>88</v>
      </c>
      <c r="AB29" s="52"/>
      <c r="AC29" s="52"/>
      <c r="AD29" s="52"/>
      <c r="AE29" s="52"/>
      <c r="AF29" s="130"/>
      <c r="AG29" s="131"/>
      <c r="AH29" s="52"/>
      <c r="AI29" s="155"/>
      <c r="AJ29" s="155"/>
      <c r="AK29" s="155"/>
    </row>
    <row r="30" spans="2:37" s="34" customFormat="1" ht="34.5" customHeight="1">
      <c r="B30" s="228"/>
      <c r="C30" s="174"/>
      <c r="D30" s="55" t="s">
        <v>170</v>
      </c>
      <c r="E30" s="115" t="s">
        <v>98</v>
      </c>
      <c r="F30" s="116" t="s">
        <v>227</v>
      </c>
      <c r="G30" s="117" t="s">
        <v>174</v>
      </c>
      <c r="H30" s="52">
        <f>55/((H5/(1000*2))*(H5/(1000*2))*PI()*3600)</f>
        <v>26.292537335562777</v>
      </c>
      <c r="I30" s="52">
        <f t="shared" ref="I30:N30" si="38">55/((I5/(1000*2))*(I5/(1000*2))*PI()*3600)</f>
        <v>15.435247627330106</v>
      </c>
      <c r="J30" s="52">
        <f t="shared" si="38"/>
        <v>11.459769312813863</v>
      </c>
      <c r="K30" s="52">
        <f t="shared" si="38"/>
        <v>7.0040474067680218</v>
      </c>
      <c r="L30" s="52">
        <f t="shared" si="38"/>
        <v>4.4791899305617262</v>
      </c>
      <c r="M30" s="130">
        <f t="shared" si="38"/>
        <v>3.1891007494483699</v>
      </c>
      <c r="N30" s="131">
        <f t="shared" si="38"/>
        <v>1.8587416901340301</v>
      </c>
      <c r="O30" s="116" t="s">
        <v>99</v>
      </c>
      <c r="P30" s="115" t="s">
        <v>98</v>
      </c>
      <c r="Q30" s="115" t="s">
        <v>98</v>
      </c>
      <c r="R30" s="115" t="s">
        <v>98</v>
      </c>
      <c r="S30" s="115" t="s">
        <v>98</v>
      </c>
      <c r="T30" s="116" t="s">
        <v>194</v>
      </c>
      <c r="U30" s="115" t="s">
        <v>94</v>
      </c>
      <c r="V30" s="115" t="s">
        <v>98</v>
      </c>
      <c r="W30" s="116" t="s">
        <v>93</v>
      </c>
      <c r="X30" s="117" t="s">
        <v>94</v>
      </c>
      <c r="Y30" s="143" t="s">
        <v>98</v>
      </c>
      <c r="Z30" s="115" t="s">
        <v>98</v>
      </c>
      <c r="AA30" s="115" t="s">
        <v>98</v>
      </c>
      <c r="AB30" s="52">
        <f>55/2/((AB5/(1000*2))*(AB5/(1000*2))*PI()*3600)</f>
        <v>13.146268667781388</v>
      </c>
      <c r="AC30" s="52">
        <f t="shared" ref="AC30:AH30" si="39">55/2/((AC5/(1000*2))*(AC5/(1000*2))*PI()*3600)</f>
        <v>7.7176238136650532</v>
      </c>
      <c r="AD30" s="52">
        <f t="shared" si="39"/>
        <v>5.7298846564069317</v>
      </c>
      <c r="AE30" s="52">
        <f t="shared" si="39"/>
        <v>3.5020237033840109</v>
      </c>
      <c r="AF30" s="130">
        <f t="shared" si="39"/>
        <v>2.2395949652808631</v>
      </c>
      <c r="AG30" s="131">
        <f t="shared" si="39"/>
        <v>1.5945503747241849</v>
      </c>
      <c r="AH30" s="52">
        <f t="shared" si="39"/>
        <v>0.92937084506701506</v>
      </c>
      <c r="AI30" s="51" t="s">
        <v>248</v>
      </c>
      <c r="AJ30" s="51" t="s">
        <v>248</v>
      </c>
      <c r="AK30" s="51" t="s">
        <v>248</v>
      </c>
    </row>
    <row r="31" spans="2:37" ht="34.5" customHeight="1">
      <c r="B31" s="228"/>
      <c r="C31" s="174"/>
      <c r="D31" s="55" t="s">
        <v>97</v>
      </c>
      <c r="E31" s="115" t="s">
        <v>98</v>
      </c>
      <c r="F31" s="116" t="s">
        <v>228</v>
      </c>
      <c r="G31" s="117" t="s">
        <v>91</v>
      </c>
      <c r="H31" s="52">
        <f>60/((H5/(1000*2))*(H5/(1000*2))*PI()*3600)</f>
        <v>28.68276800243212</v>
      </c>
      <c r="I31" s="52">
        <f t="shared" ref="I31:N31" si="40">60/((I5/(1000*2))*(I5/(1000*2))*PI()*3600)</f>
        <v>16.83845195708739</v>
      </c>
      <c r="J31" s="52">
        <f t="shared" si="40"/>
        <v>12.501566523069668</v>
      </c>
      <c r="K31" s="52">
        <f t="shared" si="40"/>
        <v>7.6407789892014781</v>
      </c>
      <c r="L31" s="52">
        <f t="shared" si="40"/>
        <v>4.8863890151582474</v>
      </c>
      <c r="M31" s="130">
        <f t="shared" si="40"/>
        <v>3.4790189993982215</v>
      </c>
      <c r="N31" s="131">
        <f t="shared" si="40"/>
        <v>2.0277182074189417</v>
      </c>
      <c r="O31" s="116" t="s">
        <v>99</v>
      </c>
      <c r="P31" s="115" t="s">
        <v>98</v>
      </c>
      <c r="Q31" s="115" t="s">
        <v>98</v>
      </c>
      <c r="R31" s="115" t="s">
        <v>98</v>
      </c>
      <c r="S31" s="115" t="s">
        <v>98</v>
      </c>
      <c r="T31" s="116" t="s">
        <v>96</v>
      </c>
      <c r="U31" s="115" t="s">
        <v>94</v>
      </c>
      <c r="V31" s="115" t="s">
        <v>98</v>
      </c>
      <c r="W31" s="116" t="s">
        <v>93</v>
      </c>
      <c r="X31" s="117" t="s">
        <v>94</v>
      </c>
      <c r="Y31" s="143" t="s">
        <v>98</v>
      </c>
      <c r="Z31" s="115" t="s">
        <v>98</v>
      </c>
      <c r="AA31" s="115" t="s">
        <v>98</v>
      </c>
      <c r="AB31" s="52">
        <f>60/2/((AB5/(1000*2))*(AB5/(1000*2))*PI()*3600)</f>
        <v>14.34138400121606</v>
      </c>
      <c r="AC31" s="52">
        <f t="shared" ref="AC31:AH31" si="41">60/2/((AC5/(1000*2))*(AC5/(1000*2))*PI()*3600)</f>
        <v>8.4192259785436949</v>
      </c>
      <c r="AD31" s="52">
        <f t="shared" si="41"/>
        <v>6.250783261534834</v>
      </c>
      <c r="AE31" s="52">
        <f t="shared" si="41"/>
        <v>3.8203894946007391</v>
      </c>
      <c r="AF31" s="130">
        <f t="shared" si="41"/>
        <v>2.4431945075791237</v>
      </c>
      <c r="AG31" s="131">
        <f t="shared" si="41"/>
        <v>1.7395094996991107</v>
      </c>
      <c r="AH31" s="52">
        <f t="shared" si="41"/>
        <v>1.0138591037094709</v>
      </c>
      <c r="AI31" s="51" t="s">
        <v>248</v>
      </c>
      <c r="AJ31" s="51" t="s">
        <v>248</v>
      </c>
      <c r="AK31" s="51" t="s">
        <v>248</v>
      </c>
    </row>
    <row r="32" spans="2:37" s="34" customFormat="1" ht="34.5" customHeight="1">
      <c r="B32" s="228"/>
      <c r="C32" s="174"/>
      <c r="D32" s="55" t="s">
        <v>171</v>
      </c>
      <c r="E32" s="115" t="s">
        <v>98</v>
      </c>
      <c r="F32" s="116" t="s">
        <v>229</v>
      </c>
      <c r="G32" s="117" t="s">
        <v>174</v>
      </c>
      <c r="H32" s="52">
        <f>65/((H5/(1000*2))*(H5/(1000*2))*PI()*3600)</f>
        <v>31.072998669301462</v>
      </c>
      <c r="I32" s="52">
        <f t="shared" ref="I32:N32" si="42">65/((I5/(1000*2))*(I5/(1000*2))*PI()*3600)</f>
        <v>18.241656286844673</v>
      </c>
      <c r="J32" s="52">
        <f t="shared" si="42"/>
        <v>13.543363733325474</v>
      </c>
      <c r="K32" s="52">
        <f t="shared" si="42"/>
        <v>8.2775105716349344</v>
      </c>
      <c r="L32" s="52">
        <f t="shared" si="42"/>
        <v>5.2935880997547677</v>
      </c>
      <c r="M32" s="130">
        <f t="shared" si="42"/>
        <v>3.7689372493480735</v>
      </c>
      <c r="N32" s="131">
        <f t="shared" si="42"/>
        <v>2.1966947247038537</v>
      </c>
      <c r="O32" s="116" t="s">
        <v>99</v>
      </c>
      <c r="P32" s="115" t="s">
        <v>98</v>
      </c>
      <c r="Q32" s="115" t="s">
        <v>98</v>
      </c>
      <c r="R32" s="115" t="s">
        <v>98</v>
      </c>
      <c r="S32" s="115" t="s">
        <v>98</v>
      </c>
      <c r="T32" s="116" t="s">
        <v>195</v>
      </c>
      <c r="U32" s="115" t="s">
        <v>94</v>
      </c>
      <c r="V32" s="115" t="s">
        <v>98</v>
      </c>
      <c r="W32" s="116" t="s">
        <v>93</v>
      </c>
      <c r="X32" s="117" t="s">
        <v>94</v>
      </c>
      <c r="Y32" s="143" t="s">
        <v>98</v>
      </c>
      <c r="Z32" s="115" t="s">
        <v>98</v>
      </c>
      <c r="AA32" s="115" t="s">
        <v>98</v>
      </c>
      <c r="AB32" s="52">
        <f>65/2/((AB5/(1000*2))*(AB5/(1000*2))*PI()*3600)</f>
        <v>15.536499334650731</v>
      </c>
      <c r="AC32" s="52">
        <f t="shared" ref="AC32:AH32" si="43">65/2/((AC5/(1000*2))*(AC5/(1000*2))*PI()*3600)</f>
        <v>9.1208281434223366</v>
      </c>
      <c r="AD32" s="52">
        <f t="shared" si="43"/>
        <v>6.7716818666627372</v>
      </c>
      <c r="AE32" s="52">
        <f t="shared" si="43"/>
        <v>4.1387552858174672</v>
      </c>
      <c r="AF32" s="130">
        <f t="shared" si="43"/>
        <v>2.6467940498773839</v>
      </c>
      <c r="AG32" s="131">
        <f t="shared" si="43"/>
        <v>1.8844686246740368</v>
      </c>
      <c r="AH32" s="52">
        <f t="shared" si="43"/>
        <v>1.0983473623519269</v>
      </c>
      <c r="AI32" s="51" t="s">
        <v>248</v>
      </c>
      <c r="AJ32" s="51" t="s">
        <v>248</v>
      </c>
      <c r="AK32" s="51" t="s">
        <v>248</v>
      </c>
    </row>
    <row r="33" spans="2:37" ht="34.5" customHeight="1">
      <c r="B33" s="228"/>
      <c r="C33" s="174"/>
      <c r="D33" s="55" t="s">
        <v>100</v>
      </c>
      <c r="E33" s="115" t="s">
        <v>98</v>
      </c>
      <c r="F33" s="116" t="s">
        <v>230</v>
      </c>
      <c r="G33" s="117" t="s">
        <v>91</v>
      </c>
      <c r="H33" s="52">
        <f>72/((H5/(1000*2))*(H5/(1000*2))*PI()*3600)</f>
        <v>34.419321602918544</v>
      </c>
      <c r="I33" s="52">
        <f t="shared" ref="I33:N33" si="44">72/((I5/(1000*2))*(I5/(1000*2))*PI()*3600)</f>
        <v>20.206142348504866</v>
      </c>
      <c r="J33" s="52">
        <f t="shared" si="44"/>
        <v>15.001879827683602</v>
      </c>
      <c r="K33" s="52">
        <f t="shared" si="44"/>
        <v>9.1689347870417741</v>
      </c>
      <c r="L33" s="52">
        <f t="shared" si="44"/>
        <v>5.8636668181898965</v>
      </c>
      <c r="M33" s="130">
        <f t="shared" si="44"/>
        <v>4.1748227992778659</v>
      </c>
      <c r="N33" s="131">
        <f t="shared" si="44"/>
        <v>2.4332618489027302</v>
      </c>
      <c r="O33" s="116" t="s">
        <v>99</v>
      </c>
      <c r="P33" s="115" t="s">
        <v>98</v>
      </c>
      <c r="Q33" s="115" t="s">
        <v>98</v>
      </c>
      <c r="R33" s="115" t="s">
        <v>98</v>
      </c>
      <c r="S33" s="115" t="s">
        <v>98</v>
      </c>
      <c r="T33" s="116" t="s">
        <v>196</v>
      </c>
      <c r="U33" s="115" t="s">
        <v>94</v>
      </c>
      <c r="V33" s="115" t="s">
        <v>98</v>
      </c>
      <c r="W33" s="116" t="s">
        <v>102</v>
      </c>
      <c r="X33" s="117" t="s">
        <v>94</v>
      </c>
      <c r="Y33" s="143" t="s">
        <v>98</v>
      </c>
      <c r="Z33" s="115" t="s">
        <v>98</v>
      </c>
      <c r="AA33" s="115" t="s">
        <v>98</v>
      </c>
      <c r="AB33" s="52">
        <f>72/2/((AB5/(1000*2))*(AB5/(1000*2))*PI()*3600)</f>
        <v>17.209660801459272</v>
      </c>
      <c r="AC33" s="52">
        <f t="shared" ref="AC33:AH33" si="45">72/2/((AC5/(1000*2))*(AC5/(1000*2))*PI()*3600)</f>
        <v>10.103071174252433</v>
      </c>
      <c r="AD33" s="52">
        <f t="shared" si="45"/>
        <v>7.5009399138418011</v>
      </c>
      <c r="AE33" s="52">
        <f t="shared" si="45"/>
        <v>4.5844673935208871</v>
      </c>
      <c r="AF33" s="130">
        <f t="shared" si="45"/>
        <v>2.9318334090949483</v>
      </c>
      <c r="AG33" s="131">
        <f t="shared" si="45"/>
        <v>2.087411399638933</v>
      </c>
      <c r="AH33" s="52">
        <f t="shared" si="45"/>
        <v>1.2166309244513651</v>
      </c>
      <c r="AI33" s="51" t="s">
        <v>248</v>
      </c>
      <c r="AJ33" s="51" t="s">
        <v>248</v>
      </c>
      <c r="AK33" s="51" t="s">
        <v>248</v>
      </c>
    </row>
    <row r="34" spans="2:37" s="40" customFormat="1" ht="34.5" hidden="1" customHeight="1">
      <c r="B34" s="228"/>
      <c r="C34" s="174"/>
      <c r="D34" s="56" t="s">
        <v>100</v>
      </c>
      <c r="E34" s="115" t="s">
        <v>98</v>
      </c>
      <c r="F34" s="119">
        <v>72</v>
      </c>
      <c r="G34" s="120" t="s">
        <v>91</v>
      </c>
      <c r="H34" s="52"/>
      <c r="I34" s="52"/>
      <c r="J34" s="52"/>
      <c r="K34" s="52"/>
      <c r="L34" s="52"/>
      <c r="M34" s="130"/>
      <c r="N34" s="131"/>
      <c r="O34" s="119" t="s">
        <v>99</v>
      </c>
      <c r="P34" s="118" t="s">
        <v>98</v>
      </c>
      <c r="Q34" s="115" t="s">
        <v>98</v>
      </c>
      <c r="R34" s="118" t="s">
        <v>98</v>
      </c>
      <c r="S34" s="118" t="s">
        <v>98</v>
      </c>
      <c r="T34" s="119" t="s">
        <v>101</v>
      </c>
      <c r="U34" s="118" t="s">
        <v>94</v>
      </c>
      <c r="V34" s="118" t="s">
        <v>98</v>
      </c>
      <c r="W34" s="119" t="s">
        <v>102</v>
      </c>
      <c r="X34" s="120" t="s">
        <v>94</v>
      </c>
      <c r="Y34" s="144" t="s">
        <v>98</v>
      </c>
      <c r="Z34" s="118" t="s">
        <v>98</v>
      </c>
      <c r="AA34" s="118" t="s">
        <v>98</v>
      </c>
      <c r="AB34" s="52"/>
      <c r="AC34" s="52"/>
      <c r="AD34" s="52"/>
      <c r="AE34" s="52"/>
      <c r="AF34" s="130"/>
      <c r="AG34" s="131"/>
      <c r="AH34" s="52"/>
      <c r="AI34" s="155"/>
      <c r="AJ34" s="155"/>
      <c r="AK34" s="155"/>
    </row>
    <row r="35" spans="2:37" s="34" customFormat="1" ht="34.5" customHeight="1" thickBot="1">
      <c r="B35" s="228"/>
      <c r="C35" s="174"/>
      <c r="D35" s="55" t="s">
        <v>172</v>
      </c>
      <c r="E35" s="115" t="s">
        <v>98</v>
      </c>
      <c r="F35" s="116" t="s">
        <v>231</v>
      </c>
      <c r="G35" s="117" t="s">
        <v>174</v>
      </c>
      <c r="H35" s="52">
        <f>75/((H5/(1000*2))*(H5/(1000*2))*PI()*3600)</f>
        <v>35.853460003040148</v>
      </c>
      <c r="I35" s="52">
        <f t="shared" ref="I35:N35" si="46">75/((I5/(1000*2))*(I5/(1000*2))*PI()*3600)</f>
        <v>21.048064946359236</v>
      </c>
      <c r="J35" s="52">
        <f t="shared" si="46"/>
        <v>15.626958153837085</v>
      </c>
      <c r="K35" s="52">
        <f t="shared" si="46"/>
        <v>9.550973736501847</v>
      </c>
      <c r="L35" s="52">
        <f t="shared" si="46"/>
        <v>6.1079862689478093</v>
      </c>
      <c r="M35" s="130">
        <f t="shared" si="46"/>
        <v>4.3487737492477772</v>
      </c>
      <c r="N35" s="131">
        <f t="shared" si="46"/>
        <v>2.5346477592736774</v>
      </c>
      <c r="O35" s="116" t="s">
        <v>99</v>
      </c>
      <c r="P35" s="115" t="s">
        <v>98</v>
      </c>
      <c r="Q35" s="115" t="s">
        <v>98</v>
      </c>
      <c r="R35" s="115" t="s">
        <v>98</v>
      </c>
      <c r="S35" s="115" t="s">
        <v>98</v>
      </c>
      <c r="T35" s="116" t="s">
        <v>193</v>
      </c>
      <c r="U35" s="115" t="s">
        <v>94</v>
      </c>
      <c r="V35" s="115" t="s">
        <v>98</v>
      </c>
      <c r="W35" s="116" t="s">
        <v>102</v>
      </c>
      <c r="X35" s="117" t="s">
        <v>94</v>
      </c>
      <c r="Y35" s="143" t="s">
        <v>98</v>
      </c>
      <c r="Z35" s="115" t="s">
        <v>98</v>
      </c>
      <c r="AA35" s="115" t="s">
        <v>98</v>
      </c>
      <c r="AB35" s="52">
        <f>75/2/((AB5/(1000*2))*(AB5/(1000*2))*PI()*3600)</f>
        <v>17.926730001520074</v>
      </c>
      <c r="AC35" s="52">
        <f t="shared" ref="AC35:AH35" si="47">75/2/((AC5/(1000*2))*(AC5/(1000*2))*PI()*3600)</f>
        <v>10.524032473179618</v>
      </c>
      <c r="AD35" s="52">
        <f t="shared" si="47"/>
        <v>7.8134790769185427</v>
      </c>
      <c r="AE35" s="52">
        <f t="shared" si="47"/>
        <v>4.7754868682509235</v>
      </c>
      <c r="AF35" s="130">
        <f t="shared" si="47"/>
        <v>3.0539931344739046</v>
      </c>
      <c r="AG35" s="132">
        <f t="shared" si="47"/>
        <v>2.1743868746238886</v>
      </c>
      <c r="AH35" s="167">
        <f t="shared" si="47"/>
        <v>1.2673238796368387</v>
      </c>
      <c r="AI35" s="160" t="s">
        <v>248</v>
      </c>
      <c r="AJ35" s="160" t="s">
        <v>248</v>
      </c>
      <c r="AK35" s="160" t="s">
        <v>248</v>
      </c>
    </row>
    <row r="36" spans="2:37" ht="34.5" customHeight="1" thickBot="1">
      <c r="B36" s="229"/>
      <c r="C36" s="175"/>
      <c r="D36" s="55" t="s">
        <v>103</v>
      </c>
      <c r="E36" s="115" t="s">
        <v>98</v>
      </c>
      <c r="F36" s="116" t="s">
        <v>232</v>
      </c>
      <c r="G36" s="117" t="s">
        <v>91</v>
      </c>
      <c r="H36" s="52">
        <f>80/((H5/(1000*2))*(H5/(1000*2))*PI()*3600)</f>
        <v>38.243690669909491</v>
      </c>
      <c r="I36" s="52">
        <f t="shared" ref="I36:N36" si="48">80/((I5/(1000*2))*(I5/(1000*2))*PI()*3600)</f>
        <v>22.45126927611652</v>
      </c>
      <c r="J36" s="52">
        <f t="shared" si="48"/>
        <v>16.668755364092892</v>
      </c>
      <c r="K36" s="52">
        <f t="shared" si="48"/>
        <v>10.187705318935304</v>
      </c>
      <c r="L36" s="52">
        <f t="shared" si="48"/>
        <v>6.5151853535443296</v>
      </c>
      <c r="M36" s="130">
        <f t="shared" si="48"/>
        <v>4.6386919991976292</v>
      </c>
      <c r="N36" s="132">
        <f t="shared" si="48"/>
        <v>2.7036242765585889</v>
      </c>
      <c r="O36" s="116" t="s">
        <v>99</v>
      </c>
      <c r="P36" s="115" t="s">
        <v>98</v>
      </c>
      <c r="Q36" s="115" t="s">
        <v>98</v>
      </c>
      <c r="R36" s="115" t="s">
        <v>98</v>
      </c>
      <c r="S36" s="115" t="s">
        <v>98</v>
      </c>
      <c r="T36" s="116" t="s">
        <v>101</v>
      </c>
      <c r="U36" s="115" t="s">
        <v>94</v>
      </c>
      <c r="V36" s="115" t="s">
        <v>98</v>
      </c>
      <c r="W36" s="116" t="s">
        <v>102</v>
      </c>
      <c r="X36" s="117" t="s">
        <v>94</v>
      </c>
      <c r="Y36" s="143" t="s">
        <v>98</v>
      </c>
      <c r="Z36" s="115" t="s">
        <v>98</v>
      </c>
      <c r="AA36" s="115" t="s">
        <v>98</v>
      </c>
      <c r="AB36" s="52">
        <f>80/2/((AB5/(1000*2))*(AB5/(1000*2))*PI()*3600)</f>
        <v>19.121845334954745</v>
      </c>
      <c r="AC36" s="52">
        <f t="shared" ref="AC36:AH36" si="49">80/2/((AC5/(1000*2))*(AC5/(1000*2))*PI()*3600)</f>
        <v>11.22563463805826</v>
      </c>
      <c r="AD36" s="52">
        <f t="shared" si="49"/>
        <v>8.3343776820464459</v>
      </c>
      <c r="AE36" s="52">
        <f t="shared" si="49"/>
        <v>5.0938526594676521</v>
      </c>
      <c r="AF36" s="52">
        <f t="shared" si="49"/>
        <v>3.2575926767721648</v>
      </c>
      <c r="AG36" s="129">
        <f t="shared" si="49"/>
        <v>2.3193459995988146</v>
      </c>
      <c r="AH36" s="169">
        <f t="shared" si="49"/>
        <v>1.3518121382792945</v>
      </c>
      <c r="AI36" s="170" t="s">
        <v>249</v>
      </c>
      <c r="AJ36" s="170" t="s">
        <v>249</v>
      </c>
      <c r="AK36" s="170" t="s">
        <v>249</v>
      </c>
    </row>
    <row r="37" spans="2:37">
      <c r="D37" s="33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7"/>
      <c r="P37" s="247"/>
      <c r="Q37" s="247"/>
      <c r="R37" s="247"/>
      <c r="S37" s="247"/>
      <c r="T37" s="247"/>
      <c r="U37" s="247"/>
      <c r="V37" s="27"/>
      <c r="W37" s="27"/>
      <c r="X37" s="27"/>
      <c r="Y37" s="27"/>
      <c r="Z37" s="27"/>
      <c r="AA37" s="27"/>
      <c r="AB37" s="24"/>
      <c r="AC37" s="24"/>
      <c r="AD37" s="24"/>
      <c r="AE37" s="24"/>
      <c r="AF37" s="24"/>
      <c r="AG37" s="24"/>
      <c r="AH37" s="24"/>
    </row>
    <row r="38" spans="2:37" ht="59.25" customHeight="1">
      <c r="D38" s="57"/>
      <c r="E38" s="241" t="s">
        <v>166</v>
      </c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32"/>
      <c r="R38" s="32"/>
      <c r="S38" s="32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</row>
    <row r="39" spans="2:37" ht="33.75" customHeight="1">
      <c r="D39" s="58"/>
      <c r="E39" s="245" t="s">
        <v>165</v>
      </c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32"/>
      <c r="R39" s="32"/>
      <c r="S39" s="32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</row>
    <row r="40" spans="2:37" ht="33.75" customHeight="1">
      <c r="D40" s="58"/>
      <c r="E40" s="245" t="s">
        <v>242</v>
      </c>
      <c r="F40" s="24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32"/>
      <c r="R40" s="32"/>
      <c r="S40" s="32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</row>
    <row r="41" spans="2:37" ht="198.75" customHeight="1">
      <c r="E41" s="237" t="s">
        <v>256</v>
      </c>
      <c r="F41" s="237"/>
      <c r="G41" s="237"/>
      <c r="H41" s="237"/>
      <c r="I41" s="237"/>
      <c r="J41" s="237"/>
      <c r="K41" s="237"/>
      <c r="L41" s="237"/>
      <c r="M41" s="237"/>
      <c r="N41" s="237"/>
      <c r="O41" s="237"/>
    </row>
    <row r="42" spans="2:37" ht="198" customHeight="1"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41"/>
      <c r="S42" s="241"/>
      <c r="T42" s="241"/>
      <c r="U42" s="241"/>
      <c r="V42" s="241"/>
      <c r="W42" s="241"/>
      <c r="X42" s="241"/>
      <c r="Y42" s="241"/>
      <c r="Z42" s="241"/>
      <c r="AA42" s="241"/>
    </row>
  </sheetData>
  <mergeCells count="26">
    <mergeCell ref="E42:AA42"/>
    <mergeCell ref="W4:X4"/>
    <mergeCell ref="Z4:AA4"/>
    <mergeCell ref="F3:G3"/>
    <mergeCell ref="T4:U4"/>
    <mergeCell ref="E40:P40"/>
    <mergeCell ref="W3:X3"/>
    <mergeCell ref="E39:P39"/>
    <mergeCell ref="E37:U37"/>
    <mergeCell ref="E38:P38"/>
    <mergeCell ref="T3:U3"/>
    <mergeCell ref="O4:P4"/>
    <mergeCell ref="H3:M3"/>
    <mergeCell ref="F4:G4"/>
    <mergeCell ref="B6:B36"/>
    <mergeCell ref="B3:C4"/>
    <mergeCell ref="C6:C25"/>
    <mergeCell ref="E41:O41"/>
    <mergeCell ref="AB3:AG3"/>
    <mergeCell ref="D1:P1"/>
    <mergeCell ref="R1:S1"/>
    <mergeCell ref="D3:D4"/>
    <mergeCell ref="O3:P3"/>
    <mergeCell ref="AB2:AK2"/>
    <mergeCell ref="Y2:AA2"/>
    <mergeCell ref="AI4:AK4"/>
  </mergeCells>
  <phoneticPr fontId="1" type="noConversion"/>
  <conditionalFormatting sqref="H6:N36">
    <cfRule type="expression" dxfId="1" priority="2">
      <formula>NOT(MIN(ABS($N$3-$H6:$N6))-ABS($N$3-H6))</formula>
    </cfRule>
  </conditionalFormatting>
  <conditionalFormatting sqref="AB6:AH36">
    <cfRule type="expression" dxfId="0" priority="3">
      <formula>NOT(MIN(ABS($AH$3-$AB6:$AH6))-ABS($AH$3-AB6))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E440B-0680-4CFF-BAF2-56EC18ABAD0C}">
  <dimension ref="B1:N38"/>
  <sheetViews>
    <sheetView zoomScale="115" zoomScaleNormal="115" workbookViewId="0">
      <selection activeCell="M22" sqref="M22"/>
    </sheetView>
  </sheetViews>
  <sheetFormatPr defaultRowHeight="13.5"/>
  <cols>
    <col min="1" max="1" width="2.125" style="35" customWidth="1"/>
    <col min="2" max="2" width="11.25" style="39" bestFit="1" customWidth="1"/>
    <col min="3" max="3" width="11.375" style="39" bestFit="1" customWidth="1"/>
    <col min="4" max="8" width="5.875" style="39" bestFit="1" customWidth="1"/>
    <col min="9" max="9" width="5" style="39" bestFit="1" customWidth="1"/>
    <col min="10" max="11" width="5.875" style="39" bestFit="1" customWidth="1"/>
    <col min="12" max="12" width="5.75" style="35" customWidth="1"/>
    <col min="13" max="14" width="9.75" style="35" customWidth="1"/>
    <col min="15" max="237" width="9" style="35"/>
    <col min="238" max="238" width="2.125" style="35" customWidth="1"/>
    <col min="239" max="239" width="13" style="35" customWidth="1"/>
    <col min="240" max="240" width="7.5" style="35" customWidth="1"/>
    <col min="241" max="241" width="7.625" style="35" customWidth="1"/>
    <col min="242" max="246" width="9.75" style="35" customWidth="1"/>
    <col min="247" max="247" width="8" style="35" customWidth="1"/>
    <col min="248" max="248" width="5.375" style="35" customWidth="1"/>
    <col min="249" max="249" width="9" style="35"/>
    <col min="250" max="250" width="10.25" style="35" customWidth="1"/>
    <col min="251" max="251" width="11.25" style="35" customWidth="1"/>
    <col min="252" max="254" width="9.125" style="35" bestFit="1" customWidth="1"/>
    <col min="255" max="255" width="9.25" style="35" bestFit="1" customWidth="1"/>
    <col min="256" max="256" width="9.125" style="35" bestFit="1" customWidth="1"/>
    <col min="257" max="257" width="9.25" style="35" bestFit="1" customWidth="1"/>
    <col min="258" max="493" width="9" style="35"/>
    <col min="494" max="494" width="2.125" style="35" customWidth="1"/>
    <col min="495" max="495" width="13" style="35" customWidth="1"/>
    <col min="496" max="496" width="7.5" style="35" customWidth="1"/>
    <col min="497" max="497" width="7.625" style="35" customWidth="1"/>
    <col min="498" max="502" width="9.75" style="35" customWidth="1"/>
    <col min="503" max="503" width="8" style="35" customWidth="1"/>
    <col min="504" max="504" width="5.375" style="35" customWidth="1"/>
    <col min="505" max="505" width="9" style="35"/>
    <col min="506" max="506" width="10.25" style="35" customWidth="1"/>
    <col min="507" max="507" width="11.25" style="35" customWidth="1"/>
    <col min="508" max="510" width="9.125" style="35" bestFit="1" customWidth="1"/>
    <col min="511" max="511" width="9.25" style="35" bestFit="1" customWidth="1"/>
    <col min="512" max="512" width="9.125" style="35" bestFit="1" customWidth="1"/>
    <col min="513" max="513" width="9.25" style="35" bestFit="1" customWidth="1"/>
    <col min="514" max="749" width="9" style="35"/>
    <col min="750" max="750" width="2.125" style="35" customWidth="1"/>
    <col min="751" max="751" width="13" style="35" customWidth="1"/>
    <col min="752" max="752" width="7.5" style="35" customWidth="1"/>
    <col min="753" max="753" width="7.625" style="35" customWidth="1"/>
    <col min="754" max="758" width="9.75" style="35" customWidth="1"/>
    <col min="759" max="759" width="8" style="35" customWidth="1"/>
    <col min="760" max="760" width="5.375" style="35" customWidth="1"/>
    <col min="761" max="761" width="9" style="35"/>
    <col min="762" max="762" width="10.25" style="35" customWidth="1"/>
    <col min="763" max="763" width="11.25" style="35" customWidth="1"/>
    <col min="764" max="766" width="9.125" style="35" bestFit="1" customWidth="1"/>
    <col min="767" max="767" width="9.25" style="35" bestFit="1" customWidth="1"/>
    <col min="768" max="768" width="9.125" style="35" bestFit="1" customWidth="1"/>
    <col min="769" max="769" width="9.25" style="35" bestFit="1" customWidth="1"/>
    <col min="770" max="1005" width="9" style="35"/>
    <col min="1006" max="1006" width="2.125" style="35" customWidth="1"/>
    <col min="1007" max="1007" width="13" style="35" customWidth="1"/>
    <col min="1008" max="1008" width="7.5" style="35" customWidth="1"/>
    <col min="1009" max="1009" width="7.625" style="35" customWidth="1"/>
    <col min="1010" max="1014" width="9.75" style="35" customWidth="1"/>
    <col min="1015" max="1015" width="8" style="35" customWidth="1"/>
    <col min="1016" max="1016" width="5.375" style="35" customWidth="1"/>
    <col min="1017" max="1017" width="9" style="35"/>
    <col min="1018" max="1018" width="10.25" style="35" customWidth="1"/>
    <col min="1019" max="1019" width="11.25" style="35" customWidth="1"/>
    <col min="1020" max="1022" width="9.125" style="35" bestFit="1" customWidth="1"/>
    <col min="1023" max="1023" width="9.25" style="35" bestFit="1" customWidth="1"/>
    <col min="1024" max="1024" width="9.125" style="35" bestFit="1" customWidth="1"/>
    <col min="1025" max="1025" width="9.25" style="35" bestFit="1" customWidth="1"/>
    <col min="1026" max="1261" width="9" style="35"/>
    <col min="1262" max="1262" width="2.125" style="35" customWidth="1"/>
    <col min="1263" max="1263" width="13" style="35" customWidth="1"/>
    <col min="1264" max="1264" width="7.5" style="35" customWidth="1"/>
    <col min="1265" max="1265" width="7.625" style="35" customWidth="1"/>
    <col min="1266" max="1270" width="9.75" style="35" customWidth="1"/>
    <col min="1271" max="1271" width="8" style="35" customWidth="1"/>
    <col min="1272" max="1272" width="5.375" style="35" customWidth="1"/>
    <col min="1273" max="1273" width="9" style="35"/>
    <col min="1274" max="1274" width="10.25" style="35" customWidth="1"/>
    <col min="1275" max="1275" width="11.25" style="35" customWidth="1"/>
    <col min="1276" max="1278" width="9.125" style="35" bestFit="1" customWidth="1"/>
    <col min="1279" max="1279" width="9.25" style="35" bestFit="1" customWidth="1"/>
    <col min="1280" max="1280" width="9.125" style="35" bestFit="1" customWidth="1"/>
    <col min="1281" max="1281" width="9.25" style="35" bestFit="1" customWidth="1"/>
    <col min="1282" max="1517" width="9" style="35"/>
    <col min="1518" max="1518" width="2.125" style="35" customWidth="1"/>
    <col min="1519" max="1519" width="13" style="35" customWidth="1"/>
    <col min="1520" max="1520" width="7.5" style="35" customWidth="1"/>
    <col min="1521" max="1521" width="7.625" style="35" customWidth="1"/>
    <col min="1522" max="1526" width="9.75" style="35" customWidth="1"/>
    <col min="1527" max="1527" width="8" style="35" customWidth="1"/>
    <col min="1528" max="1528" width="5.375" style="35" customWidth="1"/>
    <col min="1529" max="1529" width="9" style="35"/>
    <col min="1530" max="1530" width="10.25" style="35" customWidth="1"/>
    <col min="1531" max="1531" width="11.25" style="35" customWidth="1"/>
    <col min="1532" max="1534" width="9.125" style="35" bestFit="1" customWidth="1"/>
    <col min="1535" max="1535" width="9.25" style="35" bestFit="1" customWidth="1"/>
    <col min="1536" max="1536" width="9.125" style="35" bestFit="1" customWidth="1"/>
    <col min="1537" max="1537" width="9.25" style="35" bestFit="1" customWidth="1"/>
    <col min="1538" max="1773" width="9" style="35"/>
    <col min="1774" max="1774" width="2.125" style="35" customWidth="1"/>
    <col min="1775" max="1775" width="13" style="35" customWidth="1"/>
    <col min="1776" max="1776" width="7.5" style="35" customWidth="1"/>
    <col min="1777" max="1777" width="7.625" style="35" customWidth="1"/>
    <col min="1778" max="1782" width="9.75" style="35" customWidth="1"/>
    <col min="1783" max="1783" width="8" style="35" customWidth="1"/>
    <col min="1784" max="1784" width="5.375" style="35" customWidth="1"/>
    <col min="1785" max="1785" width="9" style="35"/>
    <col min="1786" max="1786" width="10.25" style="35" customWidth="1"/>
    <col min="1787" max="1787" width="11.25" style="35" customWidth="1"/>
    <col min="1788" max="1790" width="9.125" style="35" bestFit="1" customWidth="1"/>
    <col min="1791" max="1791" width="9.25" style="35" bestFit="1" customWidth="1"/>
    <col min="1792" max="1792" width="9.125" style="35" bestFit="1" customWidth="1"/>
    <col min="1793" max="1793" width="9.25" style="35" bestFit="1" customWidth="1"/>
    <col min="1794" max="2029" width="9" style="35"/>
    <col min="2030" max="2030" width="2.125" style="35" customWidth="1"/>
    <col min="2031" max="2031" width="13" style="35" customWidth="1"/>
    <col min="2032" max="2032" width="7.5" style="35" customWidth="1"/>
    <col min="2033" max="2033" width="7.625" style="35" customWidth="1"/>
    <col min="2034" max="2038" width="9.75" style="35" customWidth="1"/>
    <col min="2039" max="2039" width="8" style="35" customWidth="1"/>
    <col min="2040" max="2040" width="5.375" style="35" customWidth="1"/>
    <col min="2041" max="2041" width="9" style="35"/>
    <col min="2042" max="2042" width="10.25" style="35" customWidth="1"/>
    <col min="2043" max="2043" width="11.25" style="35" customWidth="1"/>
    <col min="2044" max="2046" width="9.125" style="35" bestFit="1" customWidth="1"/>
    <col min="2047" max="2047" width="9.25" style="35" bestFit="1" customWidth="1"/>
    <col min="2048" max="2048" width="9.125" style="35" bestFit="1" customWidth="1"/>
    <col min="2049" max="2049" width="9.25" style="35" bestFit="1" customWidth="1"/>
    <col min="2050" max="2285" width="9" style="35"/>
    <col min="2286" max="2286" width="2.125" style="35" customWidth="1"/>
    <col min="2287" max="2287" width="13" style="35" customWidth="1"/>
    <col min="2288" max="2288" width="7.5" style="35" customWidth="1"/>
    <col min="2289" max="2289" width="7.625" style="35" customWidth="1"/>
    <col min="2290" max="2294" width="9.75" style="35" customWidth="1"/>
    <col min="2295" max="2295" width="8" style="35" customWidth="1"/>
    <col min="2296" max="2296" width="5.375" style="35" customWidth="1"/>
    <col min="2297" max="2297" width="9" style="35"/>
    <col min="2298" max="2298" width="10.25" style="35" customWidth="1"/>
    <col min="2299" max="2299" width="11.25" style="35" customWidth="1"/>
    <col min="2300" max="2302" width="9.125" style="35" bestFit="1" customWidth="1"/>
    <col min="2303" max="2303" width="9.25" style="35" bestFit="1" customWidth="1"/>
    <col min="2304" max="2304" width="9.125" style="35" bestFit="1" customWidth="1"/>
    <col min="2305" max="2305" width="9.25" style="35" bestFit="1" customWidth="1"/>
    <col min="2306" max="2541" width="9" style="35"/>
    <col min="2542" max="2542" width="2.125" style="35" customWidth="1"/>
    <col min="2543" max="2543" width="13" style="35" customWidth="1"/>
    <col min="2544" max="2544" width="7.5" style="35" customWidth="1"/>
    <col min="2545" max="2545" width="7.625" style="35" customWidth="1"/>
    <col min="2546" max="2550" width="9.75" style="35" customWidth="1"/>
    <col min="2551" max="2551" width="8" style="35" customWidth="1"/>
    <col min="2552" max="2552" width="5.375" style="35" customWidth="1"/>
    <col min="2553" max="2553" width="9" style="35"/>
    <col min="2554" max="2554" width="10.25" style="35" customWidth="1"/>
    <col min="2555" max="2555" width="11.25" style="35" customWidth="1"/>
    <col min="2556" max="2558" width="9.125" style="35" bestFit="1" customWidth="1"/>
    <col min="2559" max="2559" width="9.25" style="35" bestFit="1" customWidth="1"/>
    <col min="2560" max="2560" width="9.125" style="35" bestFit="1" customWidth="1"/>
    <col min="2561" max="2561" width="9.25" style="35" bestFit="1" customWidth="1"/>
    <col min="2562" max="2797" width="9" style="35"/>
    <col min="2798" max="2798" width="2.125" style="35" customWidth="1"/>
    <col min="2799" max="2799" width="13" style="35" customWidth="1"/>
    <col min="2800" max="2800" width="7.5" style="35" customWidth="1"/>
    <col min="2801" max="2801" width="7.625" style="35" customWidth="1"/>
    <col min="2802" max="2806" width="9.75" style="35" customWidth="1"/>
    <col min="2807" max="2807" width="8" style="35" customWidth="1"/>
    <col min="2808" max="2808" width="5.375" style="35" customWidth="1"/>
    <col min="2809" max="2809" width="9" style="35"/>
    <col min="2810" max="2810" width="10.25" style="35" customWidth="1"/>
    <col min="2811" max="2811" width="11.25" style="35" customWidth="1"/>
    <col min="2812" max="2814" width="9.125" style="35" bestFit="1" customWidth="1"/>
    <col min="2815" max="2815" width="9.25" style="35" bestFit="1" customWidth="1"/>
    <col min="2816" max="2816" width="9.125" style="35" bestFit="1" customWidth="1"/>
    <col min="2817" max="2817" width="9.25" style="35" bestFit="1" customWidth="1"/>
    <col min="2818" max="3053" width="9" style="35"/>
    <col min="3054" max="3054" width="2.125" style="35" customWidth="1"/>
    <col min="3055" max="3055" width="13" style="35" customWidth="1"/>
    <col min="3056" max="3056" width="7.5" style="35" customWidth="1"/>
    <col min="3057" max="3057" width="7.625" style="35" customWidth="1"/>
    <col min="3058" max="3062" width="9.75" style="35" customWidth="1"/>
    <col min="3063" max="3063" width="8" style="35" customWidth="1"/>
    <col min="3064" max="3064" width="5.375" style="35" customWidth="1"/>
    <col min="3065" max="3065" width="9" style="35"/>
    <col min="3066" max="3066" width="10.25" style="35" customWidth="1"/>
    <col min="3067" max="3067" width="11.25" style="35" customWidth="1"/>
    <col min="3068" max="3070" width="9.125" style="35" bestFit="1" customWidth="1"/>
    <col min="3071" max="3071" width="9.25" style="35" bestFit="1" customWidth="1"/>
    <col min="3072" max="3072" width="9.125" style="35" bestFit="1" customWidth="1"/>
    <col min="3073" max="3073" width="9.25" style="35" bestFit="1" customWidth="1"/>
    <col min="3074" max="3309" width="9" style="35"/>
    <col min="3310" max="3310" width="2.125" style="35" customWidth="1"/>
    <col min="3311" max="3311" width="13" style="35" customWidth="1"/>
    <col min="3312" max="3312" width="7.5" style="35" customWidth="1"/>
    <col min="3313" max="3313" width="7.625" style="35" customWidth="1"/>
    <col min="3314" max="3318" width="9.75" style="35" customWidth="1"/>
    <col min="3319" max="3319" width="8" style="35" customWidth="1"/>
    <col min="3320" max="3320" width="5.375" style="35" customWidth="1"/>
    <col min="3321" max="3321" width="9" style="35"/>
    <col min="3322" max="3322" width="10.25" style="35" customWidth="1"/>
    <col min="3323" max="3323" width="11.25" style="35" customWidth="1"/>
    <col min="3324" max="3326" width="9.125" style="35" bestFit="1" customWidth="1"/>
    <col min="3327" max="3327" width="9.25" style="35" bestFit="1" customWidth="1"/>
    <col min="3328" max="3328" width="9.125" style="35" bestFit="1" customWidth="1"/>
    <col min="3329" max="3329" width="9.25" style="35" bestFit="1" customWidth="1"/>
    <col min="3330" max="3565" width="9" style="35"/>
    <col min="3566" max="3566" width="2.125" style="35" customWidth="1"/>
    <col min="3567" max="3567" width="13" style="35" customWidth="1"/>
    <col min="3568" max="3568" width="7.5" style="35" customWidth="1"/>
    <col min="3569" max="3569" width="7.625" style="35" customWidth="1"/>
    <col min="3570" max="3574" width="9.75" style="35" customWidth="1"/>
    <col min="3575" max="3575" width="8" style="35" customWidth="1"/>
    <col min="3576" max="3576" width="5.375" style="35" customWidth="1"/>
    <col min="3577" max="3577" width="9" style="35"/>
    <col min="3578" max="3578" width="10.25" style="35" customWidth="1"/>
    <col min="3579" max="3579" width="11.25" style="35" customWidth="1"/>
    <col min="3580" max="3582" width="9.125" style="35" bestFit="1" customWidth="1"/>
    <col min="3583" max="3583" width="9.25" style="35" bestFit="1" customWidth="1"/>
    <col min="3584" max="3584" width="9.125" style="35" bestFit="1" customWidth="1"/>
    <col min="3585" max="3585" width="9.25" style="35" bestFit="1" customWidth="1"/>
    <col min="3586" max="3821" width="9" style="35"/>
    <col min="3822" max="3822" width="2.125" style="35" customWidth="1"/>
    <col min="3823" max="3823" width="13" style="35" customWidth="1"/>
    <col min="3824" max="3824" width="7.5" style="35" customWidth="1"/>
    <col min="3825" max="3825" width="7.625" style="35" customWidth="1"/>
    <col min="3826" max="3830" width="9.75" style="35" customWidth="1"/>
    <col min="3831" max="3831" width="8" style="35" customWidth="1"/>
    <col min="3832" max="3832" width="5.375" style="35" customWidth="1"/>
    <col min="3833" max="3833" width="9" style="35"/>
    <col min="3834" max="3834" width="10.25" style="35" customWidth="1"/>
    <col min="3835" max="3835" width="11.25" style="35" customWidth="1"/>
    <col min="3836" max="3838" width="9.125" style="35" bestFit="1" customWidth="1"/>
    <col min="3839" max="3839" width="9.25" style="35" bestFit="1" customWidth="1"/>
    <col min="3840" max="3840" width="9.125" style="35" bestFit="1" customWidth="1"/>
    <col min="3841" max="3841" width="9.25" style="35" bestFit="1" customWidth="1"/>
    <col min="3842" max="4077" width="9" style="35"/>
    <col min="4078" max="4078" width="2.125" style="35" customWidth="1"/>
    <col min="4079" max="4079" width="13" style="35" customWidth="1"/>
    <col min="4080" max="4080" width="7.5" style="35" customWidth="1"/>
    <col min="4081" max="4081" width="7.625" style="35" customWidth="1"/>
    <col min="4082" max="4086" width="9.75" style="35" customWidth="1"/>
    <col min="4087" max="4087" width="8" style="35" customWidth="1"/>
    <col min="4088" max="4088" width="5.375" style="35" customWidth="1"/>
    <col min="4089" max="4089" width="9" style="35"/>
    <col min="4090" max="4090" width="10.25" style="35" customWidth="1"/>
    <col min="4091" max="4091" width="11.25" style="35" customWidth="1"/>
    <col min="4092" max="4094" width="9.125" style="35" bestFit="1" customWidth="1"/>
    <col min="4095" max="4095" width="9.25" style="35" bestFit="1" customWidth="1"/>
    <col min="4096" max="4096" width="9.125" style="35" bestFit="1" customWidth="1"/>
    <col min="4097" max="4097" width="9.25" style="35" bestFit="1" customWidth="1"/>
    <col min="4098" max="4333" width="9" style="35"/>
    <col min="4334" max="4334" width="2.125" style="35" customWidth="1"/>
    <col min="4335" max="4335" width="13" style="35" customWidth="1"/>
    <col min="4336" max="4336" width="7.5" style="35" customWidth="1"/>
    <col min="4337" max="4337" width="7.625" style="35" customWidth="1"/>
    <col min="4338" max="4342" width="9.75" style="35" customWidth="1"/>
    <col min="4343" max="4343" width="8" style="35" customWidth="1"/>
    <col min="4344" max="4344" width="5.375" style="35" customWidth="1"/>
    <col min="4345" max="4345" width="9" style="35"/>
    <col min="4346" max="4346" width="10.25" style="35" customWidth="1"/>
    <col min="4347" max="4347" width="11.25" style="35" customWidth="1"/>
    <col min="4348" max="4350" width="9.125" style="35" bestFit="1" customWidth="1"/>
    <col min="4351" max="4351" width="9.25" style="35" bestFit="1" customWidth="1"/>
    <col min="4352" max="4352" width="9.125" style="35" bestFit="1" customWidth="1"/>
    <col min="4353" max="4353" width="9.25" style="35" bestFit="1" customWidth="1"/>
    <col min="4354" max="4589" width="9" style="35"/>
    <col min="4590" max="4590" width="2.125" style="35" customWidth="1"/>
    <col min="4591" max="4591" width="13" style="35" customWidth="1"/>
    <col min="4592" max="4592" width="7.5" style="35" customWidth="1"/>
    <col min="4593" max="4593" width="7.625" style="35" customWidth="1"/>
    <col min="4594" max="4598" width="9.75" style="35" customWidth="1"/>
    <col min="4599" max="4599" width="8" style="35" customWidth="1"/>
    <col min="4600" max="4600" width="5.375" style="35" customWidth="1"/>
    <col min="4601" max="4601" width="9" style="35"/>
    <col min="4602" max="4602" width="10.25" style="35" customWidth="1"/>
    <col min="4603" max="4603" width="11.25" style="35" customWidth="1"/>
    <col min="4604" max="4606" width="9.125" style="35" bestFit="1" customWidth="1"/>
    <col min="4607" max="4607" width="9.25" style="35" bestFit="1" customWidth="1"/>
    <col min="4608" max="4608" width="9.125" style="35" bestFit="1" customWidth="1"/>
    <col min="4609" max="4609" width="9.25" style="35" bestFit="1" customWidth="1"/>
    <col min="4610" max="4845" width="9" style="35"/>
    <col min="4846" max="4846" width="2.125" style="35" customWidth="1"/>
    <col min="4847" max="4847" width="13" style="35" customWidth="1"/>
    <col min="4848" max="4848" width="7.5" style="35" customWidth="1"/>
    <col min="4849" max="4849" width="7.625" style="35" customWidth="1"/>
    <col min="4850" max="4854" width="9.75" style="35" customWidth="1"/>
    <col min="4855" max="4855" width="8" style="35" customWidth="1"/>
    <col min="4856" max="4856" width="5.375" style="35" customWidth="1"/>
    <col min="4857" max="4857" width="9" style="35"/>
    <col min="4858" max="4858" width="10.25" style="35" customWidth="1"/>
    <col min="4859" max="4859" width="11.25" style="35" customWidth="1"/>
    <col min="4860" max="4862" width="9.125" style="35" bestFit="1" customWidth="1"/>
    <col min="4863" max="4863" width="9.25" style="35" bestFit="1" customWidth="1"/>
    <col min="4864" max="4864" width="9.125" style="35" bestFit="1" customWidth="1"/>
    <col min="4865" max="4865" width="9.25" style="35" bestFit="1" customWidth="1"/>
    <col min="4866" max="5101" width="9" style="35"/>
    <col min="5102" max="5102" width="2.125" style="35" customWidth="1"/>
    <col min="5103" max="5103" width="13" style="35" customWidth="1"/>
    <col min="5104" max="5104" width="7.5" style="35" customWidth="1"/>
    <col min="5105" max="5105" width="7.625" style="35" customWidth="1"/>
    <col min="5106" max="5110" width="9.75" style="35" customWidth="1"/>
    <col min="5111" max="5111" width="8" style="35" customWidth="1"/>
    <col min="5112" max="5112" width="5.375" style="35" customWidth="1"/>
    <col min="5113" max="5113" width="9" style="35"/>
    <col min="5114" max="5114" width="10.25" style="35" customWidth="1"/>
    <col min="5115" max="5115" width="11.25" style="35" customWidth="1"/>
    <col min="5116" max="5118" width="9.125" style="35" bestFit="1" customWidth="1"/>
    <col min="5119" max="5119" width="9.25" style="35" bestFit="1" customWidth="1"/>
    <col min="5120" max="5120" width="9.125" style="35" bestFit="1" customWidth="1"/>
    <col min="5121" max="5121" width="9.25" style="35" bestFit="1" customWidth="1"/>
    <col min="5122" max="5357" width="9" style="35"/>
    <col min="5358" max="5358" width="2.125" style="35" customWidth="1"/>
    <col min="5359" max="5359" width="13" style="35" customWidth="1"/>
    <col min="5360" max="5360" width="7.5" style="35" customWidth="1"/>
    <col min="5361" max="5361" width="7.625" style="35" customWidth="1"/>
    <col min="5362" max="5366" width="9.75" style="35" customWidth="1"/>
    <col min="5367" max="5367" width="8" style="35" customWidth="1"/>
    <col min="5368" max="5368" width="5.375" style="35" customWidth="1"/>
    <col min="5369" max="5369" width="9" style="35"/>
    <col min="5370" max="5370" width="10.25" style="35" customWidth="1"/>
    <col min="5371" max="5371" width="11.25" style="35" customWidth="1"/>
    <col min="5372" max="5374" width="9.125" style="35" bestFit="1" customWidth="1"/>
    <col min="5375" max="5375" width="9.25" style="35" bestFit="1" customWidth="1"/>
    <col min="5376" max="5376" width="9.125" style="35" bestFit="1" customWidth="1"/>
    <col min="5377" max="5377" width="9.25" style="35" bestFit="1" customWidth="1"/>
    <col min="5378" max="5613" width="9" style="35"/>
    <col min="5614" max="5614" width="2.125" style="35" customWidth="1"/>
    <col min="5615" max="5615" width="13" style="35" customWidth="1"/>
    <col min="5616" max="5616" width="7.5" style="35" customWidth="1"/>
    <col min="5617" max="5617" width="7.625" style="35" customWidth="1"/>
    <col min="5618" max="5622" width="9.75" style="35" customWidth="1"/>
    <col min="5623" max="5623" width="8" style="35" customWidth="1"/>
    <col min="5624" max="5624" width="5.375" style="35" customWidth="1"/>
    <col min="5625" max="5625" width="9" style="35"/>
    <col min="5626" max="5626" width="10.25" style="35" customWidth="1"/>
    <col min="5627" max="5627" width="11.25" style="35" customWidth="1"/>
    <col min="5628" max="5630" width="9.125" style="35" bestFit="1" customWidth="1"/>
    <col min="5631" max="5631" width="9.25" style="35" bestFit="1" customWidth="1"/>
    <col min="5632" max="5632" width="9.125" style="35" bestFit="1" customWidth="1"/>
    <col min="5633" max="5633" width="9.25" style="35" bestFit="1" customWidth="1"/>
    <col min="5634" max="5869" width="9" style="35"/>
    <col min="5870" max="5870" width="2.125" style="35" customWidth="1"/>
    <col min="5871" max="5871" width="13" style="35" customWidth="1"/>
    <col min="5872" max="5872" width="7.5" style="35" customWidth="1"/>
    <col min="5873" max="5873" width="7.625" style="35" customWidth="1"/>
    <col min="5874" max="5878" width="9.75" style="35" customWidth="1"/>
    <col min="5879" max="5879" width="8" style="35" customWidth="1"/>
    <col min="5880" max="5880" width="5.375" style="35" customWidth="1"/>
    <col min="5881" max="5881" width="9" style="35"/>
    <col min="5882" max="5882" width="10.25" style="35" customWidth="1"/>
    <col min="5883" max="5883" width="11.25" style="35" customWidth="1"/>
    <col min="5884" max="5886" width="9.125" style="35" bestFit="1" customWidth="1"/>
    <col min="5887" max="5887" width="9.25" style="35" bestFit="1" customWidth="1"/>
    <col min="5888" max="5888" width="9.125" style="35" bestFit="1" customWidth="1"/>
    <col min="5889" max="5889" width="9.25" style="35" bestFit="1" customWidth="1"/>
    <col min="5890" max="6125" width="9" style="35"/>
    <col min="6126" max="6126" width="2.125" style="35" customWidth="1"/>
    <col min="6127" max="6127" width="13" style="35" customWidth="1"/>
    <col min="6128" max="6128" width="7.5" style="35" customWidth="1"/>
    <col min="6129" max="6129" width="7.625" style="35" customWidth="1"/>
    <col min="6130" max="6134" width="9.75" style="35" customWidth="1"/>
    <col min="6135" max="6135" width="8" style="35" customWidth="1"/>
    <col min="6136" max="6136" width="5.375" style="35" customWidth="1"/>
    <col min="6137" max="6137" width="9" style="35"/>
    <col min="6138" max="6138" width="10.25" style="35" customWidth="1"/>
    <col min="6139" max="6139" width="11.25" style="35" customWidth="1"/>
    <col min="6140" max="6142" width="9.125" style="35" bestFit="1" customWidth="1"/>
    <col min="6143" max="6143" width="9.25" style="35" bestFit="1" customWidth="1"/>
    <col min="6144" max="6144" width="9.125" style="35" bestFit="1" customWidth="1"/>
    <col min="6145" max="6145" width="9.25" style="35" bestFit="1" customWidth="1"/>
    <col min="6146" max="6381" width="9" style="35"/>
    <col min="6382" max="6382" width="2.125" style="35" customWidth="1"/>
    <col min="6383" max="6383" width="13" style="35" customWidth="1"/>
    <col min="6384" max="6384" width="7.5" style="35" customWidth="1"/>
    <col min="6385" max="6385" width="7.625" style="35" customWidth="1"/>
    <col min="6386" max="6390" width="9.75" style="35" customWidth="1"/>
    <col min="6391" max="6391" width="8" style="35" customWidth="1"/>
    <col min="6392" max="6392" width="5.375" style="35" customWidth="1"/>
    <col min="6393" max="6393" width="9" style="35"/>
    <col min="6394" max="6394" width="10.25" style="35" customWidth="1"/>
    <col min="6395" max="6395" width="11.25" style="35" customWidth="1"/>
    <col min="6396" max="6398" width="9.125" style="35" bestFit="1" customWidth="1"/>
    <col min="6399" max="6399" width="9.25" style="35" bestFit="1" customWidth="1"/>
    <col min="6400" max="6400" width="9.125" style="35" bestFit="1" customWidth="1"/>
    <col min="6401" max="6401" width="9.25" style="35" bestFit="1" customWidth="1"/>
    <col min="6402" max="6637" width="9" style="35"/>
    <col min="6638" max="6638" width="2.125" style="35" customWidth="1"/>
    <col min="6639" max="6639" width="13" style="35" customWidth="1"/>
    <col min="6640" max="6640" width="7.5" style="35" customWidth="1"/>
    <col min="6641" max="6641" width="7.625" style="35" customWidth="1"/>
    <col min="6642" max="6646" width="9.75" style="35" customWidth="1"/>
    <col min="6647" max="6647" width="8" style="35" customWidth="1"/>
    <col min="6648" max="6648" width="5.375" style="35" customWidth="1"/>
    <col min="6649" max="6649" width="9" style="35"/>
    <col min="6650" max="6650" width="10.25" style="35" customWidth="1"/>
    <col min="6651" max="6651" width="11.25" style="35" customWidth="1"/>
    <col min="6652" max="6654" width="9.125" style="35" bestFit="1" customWidth="1"/>
    <col min="6655" max="6655" width="9.25" style="35" bestFit="1" customWidth="1"/>
    <col min="6656" max="6656" width="9.125" style="35" bestFit="1" customWidth="1"/>
    <col min="6657" max="6657" width="9.25" style="35" bestFit="1" customWidth="1"/>
    <col min="6658" max="6893" width="9" style="35"/>
    <col min="6894" max="6894" width="2.125" style="35" customWidth="1"/>
    <col min="6895" max="6895" width="13" style="35" customWidth="1"/>
    <col min="6896" max="6896" width="7.5" style="35" customWidth="1"/>
    <col min="6897" max="6897" width="7.625" style="35" customWidth="1"/>
    <col min="6898" max="6902" width="9.75" style="35" customWidth="1"/>
    <col min="6903" max="6903" width="8" style="35" customWidth="1"/>
    <col min="6904" max="6904" width="5.375" style="35" customWidth="1"/>
    <col min="6905" max="6905" width="9" style="35"/>
    <col min="6906" max="6906" width="10.25" style="35" customWidth="1"/>
    <col min="6907" max="6907" width="11.25" style="35" customWidth="1"/>
    <col min="6908" max="6910" width="9.125" style="35" bestFit="1" customWidth="1"/>
    <col min="6911" max="6911" width="9.25" style="35" bestFit="1" customWidth="1"/>
    <col min="6912" max="6912" width="9.125" style="35" bestFit="1" customWidth="1"/>
    <col min="6913" max="6913" width="9.25" style="35" bestFit="1" customWidth="1"/>
    <col min="6914" max="7149" width="9" style="35"/>
    <col min="7150" max="7150" width="2.125" style="35" customWidth="1"/>
    <col min="7151" max="7151" width="13" style="35" customWidth="1"/>
    <col min="7152" max="7152" width="7.5" style="35" customWidth="1"/>
    <col min="7153" max="7153" width="7.625" style="35" customWidth="1"/>
    <col min="7154" max="7158" width="9.75" style="35" customWidth="1"/>
    <col min="7159" max="7159" width="8" style="35" customWidth="1"/>
    <col min="7160" max="7160" width="5.375" style="35" customWidth="1"/>
    <col min="7161" max="7161" width="9" style="35"/>
    <col min="7162" max="7162" width="10.25" style="35" customWidth="1"/>
    <col min="7163" max="7163" width="11.25" style="35" customWidth="1"/>
    <col min="7164" max="7166" width="9.125" style="35" bestFit="1" customWidth="1"/>
    <col min="7167" max="7167" width="9.25" style="35" bestFit="1" customWidth="1"/>
    <col min="7168" max="7168" width="9.125" style="35" bestFit="1" customWidth="1"/>
    <col min="7169" max="7169" width="9.25" style="35" bestFit="1" customWidth="1"/>
    <col min="7170" max="7405" width="9" style="35"/>
    <col min="7406" max="7406" width="2.125" style="35" customWidth="1"/>
    <col min="7407" max="7407" width="13" style="35" customWidth="1"/>
    <col min="7408" max="7408" width="7.5" style="35" customWidth="1"/>
    <col min="7409" max="7409" width="7.625" style="35" customWidth="1"/>
    <col min="7410" max="7414" width="9.75" style="35" customWidth="1"/>
    <col min="7415" max="7415" width="8" style="35" customWidth="1"/>
    <col min="7416" max="7416" width="5.375" style="35" customWidth="1"/>
    <col min="7417" max="7417" width="9" style="35"/>
    <col min="7418" max="7418" width="10.25" style="35" customWidth="1"/>
    <col min="7419" max="7419" width="11.25" style="35" customWidth="1"/>
    <col min="7420" max="7422" width="9.125" style="35" bestFit="1" customWidth="1"/>
    <col min="7423" max="7423" width="9.25" style="35" bestFit="1" customWidth="1"/>
    <col min="7424" max="7424" width="9.125" style="35" bestFit="1" customWidth="1"/>
    <col min="7425" max="7425" width="9.25" style="35" bestFit="1" customWidth="1"/>
    <col min="7426" max="7661" width="9" style="35"/>
    <col min="7662" max="7662" width="2.125" style="35" customWidth="1"/>
    <col min="7663" max="7663" width="13" style="35" customWidth="1"/>
    <col min="7664" max="7664" width="7.5" style="35" customWidth="1"/>
    <col min="7665" max="7665" width="7.625" style="35" customWidth="1"/>
    <col min="7666" max="7670" width="9.75" style="35" customWidth="1"/>
    <col min="7671" max="7671" width="8" style="35" customWidth="1"/>
    <col min="7672" max="7672" width="5.375" style="35" customWidth="1"/>
    <col min="7673" max="7673" width="9" style="35"/>
    <col min="7674" max="7674" width="10.25" style="35" customWidth="1"/>
    <col min="7675" max="7675" width="11.25" style="35" customWidth="1"/>
    <col min="7676" max="7678" width="9.125" style="35" bestFit="1" customWidth="1"/>
    <col min="7679" max="7679" width="9.25" style="35" bestFit="1" customWidth="1"/>
    <col min="7680" max="7680" width="9.125" style="35" bestFit="1" customWidth="1"/>
    <col min="7681" max="7681" width="9.25" style="35" bestFit="1" customWidth="1"/>
    <col min="7682" max="7917" width="9" style="35"/>
    <col min="7918" max="7918" width="2.125" style="35" customWidth="1"/>
    <col min="7919" max="7919" width="13" style="35" customWidth="1"/>
    <col min="7920" max="7920" width="7.5" style="35" customWidth="1"/>
    <col min="7921" max="7921" width="7.625" style="35" customWidth="1"/>
    <col min="7922" max="7926" width="9.75" style="35" customWidth="1"/>
    <col min="7927" max="7927" width="8" style="35" customWidth="1"/>
    <col min="7928" max="7928" width="5.375" style="35" customWidth="1"/>
    <col min="7929" max="7929" width="9" style="35"/>
    <col min="7930" max="7930" width="10.25" style="35" customWidth="1"/>
    <col min="7931" max="7931" width="11.25" style="35" customWidth="1"/>
    <col min="7932" max="7934" width="9.125" style="35" bestFit="1" customWidth="1"/>
    <col min="7935" max="7935" width="9.25" style="35" bestFit="1" customWidth="1"/>
    <col min="7936" max="7936" width="9.125" style="35" bestFit="1" customWidth="1"/>
    <col min="7937" max="7937" width="9.25" style="35" bestFit="1" customWidth="1"/>
    <col min="7938" max="8173" width="9" style="35"/>
    <col min="8174" max="8174" width="2.125" style="35" customWidth="1"/>
    <col min="8175" max="8175" width="13" style="35" customWidth="1"/>
    <col min="8176" max="8176" width="7.5" style="35" customWidth="1"/>
    <col min="8177" max="8177" width="7.625" style="35" customWidth="1"/>
    <col min="8178" max="8182" width="9.75" style="35" customWidth="1"/>
    <col min="8183" max="8183" width="8" style="35" customWidth="1"/>
    <col min="8184" max="8184" width="5.375" style="35" customWidth="1"/>
    <col min="8185" max="8185" width="9" style="35"/>
    <col min="8186" max="8186" width="10.25" style="35" customWidth="1"/>
    <col min="8187" max="8187" width="11.25" style="35" customWidth="1"/>
    <col min="8188" max="8190" width="9.125" style="35" bestFit="1" customWidth="1"/>
    <col min="8191" max="8191" width="9.25" style="35" bestFit="1" customWidth="1"/>
    <col min="8192" max="8192" width="9.125" style="35" bestFit="1" customWidth="1"/>
    <col min="8193" max="8193" width="9.25" style="35" bestFit="1" customWidth="1"/>
    <col min="8194" max="8429" width="9" style="35"/>
    <col min="8430" max="8430" width="2.125" style="35" customWidth="1"/>
    <col min="8431" max="8431" width="13" style="35" customWidth="1"/>
    <col min="8432" max="8432" width="7.5" style="35" customWidth="1"/>
    <col min="8433" max="8433" width="7.625" style="35" customWidth="1"/>
    <col min="8434" max="8438" width="9.75" style="35" customWidth="1"/>
    <col min="8439" max="8439" width="8" style="35" customWidth="1"/>
    <col min="8440" max="8440" width="5.375" style="35" customWidth="1"/>
    <col min="8441" max="8441" width="9" style="35"/>
    <col min="8442" max="8442" width="10.25" style="35" customWidth="1"/>
    <col min="8443" max="8443" width="11.25" style="35" customWidth="1"/>
    <col min="8444" max="8446" width="9.125" style="35" bestFit="1" customWidth="1"/>
    <col min="8447" max="8447" width="9.25" style="35" bestFit="1" customWidth="1"/>
    <col min="8448" max="8448" width="9.125" style="35" bestFit="1" customWidth="1"/>
    <col min="8449" max="8449" width="9.25" style="35" bestFit="1" customWidth="1"/>
    <col min="8450" max="8685" width="9" style="35"/>
    <col min="8686" max="8686" width="2.125" style="35" customWidth="1"/>
    <col min="8687" max="8687" width="13" style="35" customWidth="1"/>
    <col min="8688" max="8688" width="7.5" style="35" customWidth="1"/>
    <col min="8689" max="8689" width="7.625" style="35" customWidth="1"/>
    <col min="8690" max="8694" width="9.75" style="35" customWidth="1"/>
    <col min="8695" max="8695" width="8" style="35" customWidth="1"/>
    <col min="8696" max="8696" width="5.375" style="35" customWidth="1"/>
    <col min="8697" max="8697" width="9" style="35"/>
    <col min="8698" max="8698" width="10.25" style="35" customWidth="1"/>
    <col min="8699" max="8699" width="11.25" style="35" customWidth="1"/>
    <col min="8700" max="8702" width="9.125" style="35" bestFit="1" customWidth="1"/>
    <col min="8703" max="8703" width="9.25" style="35" bestFit="1" customWidth="1"/>
    <col min="8704" max="8704" width="9.125" style="35" bestFit="1" customWidth="1"/>
    <col min="8705" max="8705" width="9.25" style="35" bestFit="1" customWidth="1"/>
    <col min="8706" max="8941" width="9" style="35"/>
    <col min="8942" max="8942" width="2.125" style="35" customWidth="1"/>
    <col min="8943" max="8943" width="13" style="35" customWidth="1"/>
    <col min="8944" max="8944" width="7.5" style="35" customWidth="1"/>
    <col min="8945" max="8945" width="7.625" style="35" customWidth="1"/>
    <col min="8946" max="8950" width="9.75" style="35" customWidth="1"/>
    <col min="8951" max="8951" width="8" style="35" customWidth="1"/>
    <col min="8952" max="8952" width="5.375" style="35" customWidth="1"/>
    <col min="8953" max="8953" width="9" style="35"/>
    <col min="8954" max="8954" width="10.25" style="35" customWidth="1"/>
    <col min="8955" max="8955" width="11.25" style="35" customWidth="1"/>
    <col min="8956" max="8958" width="9.125" style="35" bestFit="1" customWidth="1"/>
    <col min="8959" max="8959" width="9.25" style="35" bestFit="1" customWidth="1"/>
    <col min="8960" max="8960" width="9.125" style="35" bestFit="1" customWidth="1"/>
    <col min="8961" max="8961" width="9.25" style="35" bestFit="1" customWidth="1"/>
    <col min="8962" max="9197" width="9" style="35"/>
    <col min="9198" max="9198" width="2.125" style="35" customWidth="1"/>
    <col min="9199" max="9199" width="13" style="35" customWidth="1"/>
    <col min="9200" max="9200" width="7.5" style="35" customWidth="1"/>
    <col min="9201" max="9201" width="7.625" style="35" customWidth="1"/>
    <col min="9202" max="9206" width="9.75" style="35" customWidth="1"/>
    <col min="9207" max="9207" width="8" style="35" customWidth="1"/>
    <col min="9208" max="9208" width="5.375" style="35" customWidth="1"/>
    <col min="9209" max="9209" width="9" style="35"/>
    <col min="9210" max="9210" width="10.25" style="35" customWidth="1"/>
    <col min="9211" max="9211" width="11.25" style="35" customWidth="1"/>
    <col min="9212" max="9214" width="9.125" style="35" bestFit="1" customWidth="1"/>
    <col min="9215" max="9215" width="9.25" style="35" bestFit="1" customWidth="1"/>
    <col min="9216" max="9216" width="9.125" style="35" bestFit="1" customWidth="1"/>
    <col min="9217" max="9217" width="9.25" style="35" bestFit="1" customWidth="1"/>
    <col min="9218" max="9453" width="9" style="35"/>
    <col min="9454" max="9454" width="2.125" style="35" customWidth="1"/>
    <col min="9455" max="9455" width="13" style="35" customWidth="1"/>
    <col min="9456" max="9456" width="7.5" style="35" customWidth="1"/>
    <col min="9457" max="9457" width="7.625" style="35" customWidth="1"/>
    <col min="9458" max="9462" width="9.75" style="35" customWidth="1"/>
    <col min="9463" max="9463" width="8" style="35" customWidth="1"/>
    <col min="9464" max="9464" width="5.375" style="35" customWidth="1"/>
    <col min="9465" max="9465" width="9" style="35"/>
    <col min="9466" max="9466" width="10.25" style="35" customWidth="1"/>
    <col min="9467" max="9467" width="11.25" style="35" customWidth="1"/>
    <col min="9468" max="9470" width="9.125" style="35" bestFit="1" customWidth="1"/>
    <col min="9471" max="9471" width="9.25" style="35" bestFit="1" customWidth="1"/>
    <col min="9472" max="9472" width="9.125" style="35" bestFit="1" customWidth="1"/>
    <col min="9473" max="9473" width="9.25" style="35" bestFit="1" customWidth="1"/>
    <col min="9474" max="9709" width="9" style="35"/>
    <col min="9710" max="9710" width="2.125" style="35" customWidth="1"/>
    <col min="9711" max="9711" width="13" style="35" customWidth="1"/>
    <col min="9712" max="9712" width="7.5" style="35" customWidth="1"/>
    <col min="9713" max="9713" width="7.625" style="35" customWidth="1"/>
    <col min="9714" max="9718" width="9.75" style="35" customWidth="1"/>
    <col min="9719" max="9719" width="8" style="35" customWidth="1"/>
    <col min="9720" max="9720" width="5.375" style="35" customWidth="1"/>
    <col min="9721" max="9721" width="9" style="35"/>
    <col min="9722" max="9722" width="10.25" style="35" customWidth="1"/>
    <col min="9723" max="9723" width="11.25" style="35" customWidth="1"/>
    <col min="9724" max="9726" width="9.125" style="35" bestFit="1" customWidth="1"/>
    <col min="9727" max="9727" width="9.25" style="35" bestFit="1" customWidth="1"/>
    <col min="9728" max="9728" width="9.125" style="35" bestFit="1" customWidth="1"/>
    <col min="9729" max="9729" width="9.25" style="35" bestFit="1" customWidth="1"/>
    <col min="9730" max="9965" width="9" style="35"/>
    <col min="9966" max="9966" width="2.125" style="35" customWidth="1"/>
    <col min="9967" max="9967" width="13" style="35" customWidth="1"/>
    <col min="9968" max="9968" width="7.5" style="35" customWidth="1"/>
    <col min="9969" max="9969" width="7.625" style="35" customWidth="1"/>
    <col min="9970" max="9974" width="9.75" style="35" customWidth="1"/>
    <col min="9975" max="9975" width="8" style="35" customWidth="1"/>
    <col min="9976" max="9976" width="5.375" style="35" customWidth="1"/>
    <col min="9977" max="9977" width="9" style="35"/>
    <col min="9978" max="9978" width="10.25" style="35" customWidth="1"/>
    <col min="9979" max="9979" width="11.25" style="35" customWidth="1"/>
    <col min="9980" max="9982" width="9.125" style="35" bestFit="1" customWidth="1"/>
    <col min="9983" max="9983" width="9.25" style="35" bestFit="1" customWidth="1"/>
    <col min="9984" max="9984" width="9.125" style="35" bestFit="1" customWidth="1"/>
    <col min="9985" max="9985" width="9.25" style="35" bestFit="1" customWidth="1"/>
    <col min="9986" max="10221" width="9" style="35"/>
    <col min="10222" max="10222" width="2.125" style="35" customWidth="1"/>
    <col min="10223" max="10223" width="13" style="35" customWidth="1"/>
    <col min="10224" max="10224" width="7.5" style="35" customWidth="1"/>
    <col min="10225" max="10225" width="7.625" style="35" customWidth="1"/>
    <col min="10226" max="10230" width="9.75" style="35" customWidth="1"/>
    <col min="10231" max="10231" width="8" style="35" customWidth="1"/>
    <col min="10232" max="10232" width="5.375" style="35" customWidth="1"/>
    <col min="10233" max="10233" width="9" style="35"/>
    <col min="10234" max="10234" width="10.25" style="35" customWidth="1"/>
    <col min="10235" max="10235" width="11.25" style="35" customWidth="1"/>
    <col min="10236" max="10238" width="9.125" style="35" bestFit="1" customWidth="1"/>
    <col min="10239" max="10239" width="9.25" style="35" bestFit="1" customWidth="1"/>
    <col min="10240" max="10240" width="9.125" style="35" bestFit="1" customWidth="1"/>
    <col min="10241" max="10241" width="9.25" style="35" bestFit="1" customWidth="1"/>
    <col min="10242" max="10477" width="9" style="35"/>
    <col min="10478" max="10478" width="2.125" style="35" customWidth="1"/>
    <col min="10479" max="10479" width="13" style="35" customWidth="1"/>
    <col min="10480" max="10480" width="7.5" style="35" customWidth="1"/>
    <col min="10481" max="10481" width="7.625" style="35" customWidth="1"/>
    <col min="10482" max="10486" width="9.75" style="35" customWidth="1"/>
    <col min="10487" max="10487" width="8" style="35" customWidth="1"/>
    <col min="10488" max="10488" width="5.375" style="35" customWidth="1"/>
    <col min="10489" max="10489" width="9" style="35"/>
    <col min="10490" max="10490" width="10.25" style="35" customWidth="1"/>
    <col min="10491" max="10491" width="11.25" style="35" customWidth="1"/>
    <col min="10492" max="10494" width="9.125" style="35" bestFit="1" customWidth="1"/>
    <col min="10495" max="10495" width="9.25" style="35" bestFit="1" customWidth="1"/>
    <col min="10496" max="10496" width="9.125" style="35" bestFit="1" customWidth="1"/>
    <col min="10497" max="10497" width="9.25" style="35" bestFit="1" customWidth="1"/>
    <col min="10498" max="10733" width="9" style="35"/>
    <col min="10734" max="10734" width="2.125" style="35" customWidth="1"/>
    <col min="10735" max="10735" width="13" style="35" customWidth="1"/>
    <col min="10736" max="10736" width="7.5" style="35" customWidth="1"/>
    <col min="10737" max="10737" width="7.625" style="35" customWidth="1"/>
    <col min="10738" max="10742" width="9.75" style="35" customWidth="1"/>
    <col min="10743" max="10743" width="8" style="35" customWidth="1"/>
    <col min="10744" max="10744" width="5.375" style="35" customWidth="1"/>
    <col min="10745" max="10745" width="9" style="35"/>
    <col min="10746" max="10746" width="10.25" style="35" customWidth="1"/>
    <col min="10747" max="10747" width="11.25" style="35" customWidth="1"/>
    <col min="10748" max="10750" width="9.125" style="35" bestFit="1" customWidth="1"/>
    <col min="10751" max="10751" width="9.25" style="35" bestFit="1" customWidth="1"/>
    <col min="10752" max="10752" width="9.125" style="35" bestFit="1" customWidth="1"/>
    <col min="10753" max="10753" width="9.25" style="35" bestFit="1" customWidth="1"/>
    <col min="10754" max="10989" width="9" style="35"/>
    <col min="10990" max="10990" width="2.125" style="35" customWidth="1"/>
    <col min="10991" max="10991" width="13" style="35" customWidth="1"/>
    <col min="10992" max="10992" width="7.5" style="35" customWidth="1"/>
    <col min="10993" max="10993" width="7.625" style="35" customWidth="1"/>
    <col min="10994" max="10998" width="9.75" style="35" customWidth="1"/>
    <col min="10999" max="10999" width="8" style="35" customWidth="1"/>
    <col min="11000" max="11000" width="5.375" style="35" customWidth="1"/>
    <col min="11001" max="11001" width="9" style="35"/>
    <col min="11002" max="11002" width="10.25" style="35" customWidth="1"/>
    <col min="11003" max="11003" width="11.25" style="35" customWidth="1"/>
    <col min="11004" max="11006" width="9.125" style="35" bestFit="1" customWidth="1"/>
    <col min="11007" max="11007" width="9.25" style="35" bestFit="1" customWidth="1"/>
    <col min="11008" max="11008" width="9.125" style="35" bestFit="1" customWidth="1"/>
    <col min="11009" max="11009" width="9.25" style="35" bestFit="1" customWidth="1"/>
    <col min="11010" max="11245" width="9" style="35"/>
    <col min="11246" max="11246" width="2.125" style="35" customWidth="1"/>
    <col min="11247" max="11247" width="13" style="35" customWidth="1"/>
    <col min="11248" max="11248" width="7.5" style="35" customWidth="1"/>
    <col min="11249" max="11249" width="7.625" style="35" customWidth="1"/>
    <col min="11250" max="11254" width="9.75" style="35" customWidth="1"/>
    <col min="11255" max="11255" width="8" style="35" customWidth="1"/>
    <col min="11256" max="11256" width="5.375" style="35" customWidth="1"/>
    <col min="11257" max="11257" width="9" style="35"/>
    <col min="11258" max="11258" width="10.25" style="35" customWidth="1"/>
    <col min="11259" max="11259" width="11.25" style="35" customWidth="1"/>
    <col min="11260" max="11262" width="9.125" style="35" bestFit="1" customWidth="1"/>
    <col min="11263" max="11263" width="9.25" style="35" bestFit="1" customWidth="1"/>
    <col min="11264" max="11264" width="9.125" style="35" bestFit="1" customWidth="1"/>
    <col min="11265" max="11265" width="9.25" style="35" bestFit="1" customWidth="1"/>
    <col min="11266" max="11501" width="9" style="35"/>
    <col min="11502" max="11502" width="2.125" style="35" customWidth="1"/>
    <col min="11503" max="11503" width="13" style="35" customWidth="1"/>
    <col min="11504" max="11504" width="7.5" style="35" customWidth="1"/>
    <col min="11505" max="11505" width="7.625" style="35" customWidth="1"/>
    <col min="11506" max="11510" width="9.75" style="35" customWidth="1"/>
    <col min="11511" max="11511" width="8" style="35" customWidth="1"/>
    <col min="11512" max="11512" width="5.375" style="35" customWidth="1"/>
    <col min="11513" max="11513" width="9" style="35"/>
    <col min="11514" max="11514" width="10.25" style="35" customWidth="1"/>
    <col min="11515" max="11515" width="11.25" style="35" customWidth="1"/>
    <col min="11516" max="11518" width="9.125" style="35" bestFit="1" customWidth="1"/>
    <col min="11519" max="11519" width="9.25" style="35" bestFit="1" customWidth="1"/>
    <col min="11520" max="11520" width="9.125" style="35" bestFit="1" customWidth="1"/>
    <col min="11521" max="11521" width="9.25" style="35" bestFit="1" customWidth="1"/>
    <col min="11522" max="11757" width="9" style="35"/>
    <col min="11758" max="11758" width="2.125" style="35" customWidth="1"/>
    <col min="11759" max="11759" width="13" style="35" customWidth="1"/>
    <col min="11760" max="11760" width="7.5" style="35" customWidth="1"/>
    <col min="11761" max="11761" width="7.625" style="35" customWidth="1"/>
    <col min="11762" max="11766" width="9.75" style="35" customWidth="1"/>
    <col min="11767" max="11767" width="8" style="35" customWidth="1"/>
    <col min="11768" max="11768" width="5.375" style="35" customWidth="1"/>
    <col min="11769" max="11769" width="9" style="35"/>
    <col min="11770" max="11770" width="10.25" style="35" customWidth="1"/>
    <col min="11771" max="11771" width="11.25" style="35" customWidth="1"/>
    <col min="11772" max="11774" width="9.125" style="35" bestFit="1" customWidth="1"/>
    <col min="11775" max="11775" width="9.25" style="35" bestFit="1" customWidth="1"/>
    <col min="11776" max="11776" width="9.125" style="35" bestFit="1" customWidth="1"/>
    <col min="11777" max="11777" width="9.25" style="35" bestFit="1" customWidth="1"/>
    <col min="11778" max="12013" width="9" style="35"/>
    <col min="12014" max="12014" width="2.125" style="35" customWidth="1"/>
    <col min="12015" max="12015" width="13" style="35" customWidth="1"/>
    <col min="12016" max="12016" width="7.5" style="35" customWidth="1"/>
    <col min="12017" max="12017" width="7.625" style="35" customWidth="1"/>
    <col min="12018" max="12022" width="9.75" style="35" customWidth="1"/>
    <col min="12023" max="12023" width="8" style="35" customWidth="1"/>
    <col min="12024" max="12024" width="5.375" style="35" customWidth="1"/>
    <col min="12025" max="12025" width="9" style="35"/>
    <col min="12026" max="12026" width="10.25" style="35" customWidth="1"/>
    <col min="12027" max="12027" width="11.25" style="35" customWidth="1"/>
    <col min="12028" max="12030" width="9.125" style="35" bestFit="1" customWidth="1"/>
    <col min="12031" max="12031" width="9.25" style="35" bestFit="1" customWidth="1"/>
    <col min="12032" max="12032" width="9.125" style="35" bestFit="1" customWidth="1"/>
    <col min="12033" max="12033" width="9.25" style="35" bestFit="1" customWidth="1"/>
    <col min="12034" max="12269" width="9" style="35"/>
    <col min="12270" max="12270" width="2.125" style="35" customWidth="1"/>
    <col min="12271" max="12271" width="13" style="35" customWidth="1"/>
    <col min="12272" max="12272" width="7.5" style="35" customWidth="1"/>
    <col min="12273" max="12273" width="7.625" style="35" customWidth="1"/>
    <col min="12274" max="12278" width="9.75" style="35" customWidth="1"/>
    <col min="12279" max="12279" width="8" style="35" customWidth="1"/>
    <col min="12280" max="12280" width="5.375" style="35" customWidth="1"/>
    <col min="12281" max="12281" width="9" style="35"/>
    <col min="12282" max="12282" width="10.25" style="35" customWidth="1"/>
    <col min="12283" max="12283" width="11.25" style="35" customWidth="1"/>
    <col min="12284" max="12286" width="9.125" style="35" bestFit="1" customWidth="1"/>
    <col min="12287" max="12287" width="9.25" style="35" bestFit="1" customWidth="1"/>
    <col min="12288" max="12288" width="9.125" style="35" bestFit="1" customWidth="1"/>
    <col min="12289" max="12289" width="9.25" style="35" bestFit="1" customWidth="1"/>
    <col min="12290" max="12525" width="9" style="35"/>
    <col min="12526" max="12526" width="2.125" style="35" customWidth="1"/>
    <col min="12527" max="12527" width="13" style="35" customWidth="1"/>
    <col min="12528" max="12528" width="7.5" style="35" customWidth="1"/>
    <col min="12529" max="12529" width="7.625" style="35" customWidth="1"/>
    <col min="12530" max="12534" width="9.75" style="35" customWidth="1"/>
    <col min="12535" max="12535" width="8" style="35" customWidth="1"/>
    <col min="12536" max="12536" width="5.375" style="35" customWidth="1"/>
    <col min="12537" max="12537" width="9" style="35"/>
    <col min="12538" max="12538" width="10.25" style="35" customWidth="1"/>
    <col min="12539" max="12539" width="11.25" style="35" customWidth="1"/>
    <col min="12540" max="12542" width="9.125" style="35" bestFit="1" customWidth="1"/>
    <col min="12543" max="12543" width="9.25" style="35" bestFit="1" customWidth="1"/>
    <col min="12544" max="12544" width="9.125" style="35" bestFit="1" customWidth="1"/>
    <col min="12545" max="12545" width="9.25" style="35" bestFit="1" customWidth="1"/>
    <col min="12546" max="12781" width="9" style="35"/>
    <col min="12782" max="12782" width="2.125" style="35" customWidth="1"/>
    <col min="12783" max="12783" width="13" style="35" customWidth="1"/>
    <col min="12784" max="12784" width="7.5" style="35" customWidth="1"/>
    <col min="12785" max="12785" width="7.625" style="35" customWidth="1"/>
    <col min="12786" max="12790" width="9.75" style="35" customWidth="1"/>
    <col min="12791" max="12791" width="8" style="35" customWidth="1"/>
    <col min="12792" max="12792" width="5.375" style="35" customWidth="1"/>
    <col min="12793" max="12793" width="9" style="35"/>
    <col min="12794" max="12794" width="10.25" style="35" customWidth="1"/>
    <col min="12795" max="12795" width="11.25" style="35" customWidth="1"/>
    <col min="12796" max="12798" width="9.125" style="35" bestFit="1" customWidth="1"/>
    <col min="12799" max="12799" width="9.25" style="35" bestFit="1" customWidth="1"/>
    <col min="12800" max="12800" width="9.125" style="35" bestFit="1" customWidth="1"/>
    <col min="12801" max="12801" width="9.25" style="35" bestFit="1" customWidth="1"/>
    <col min="12802" max="13037" width="9" style="35"/>
    <col min="13038" max="13038" width="2.125" style="35" customWidth="1"/>
    <col min="13039" max="13039" width="13" style="35" customWidth="1"/>
    <col min="13040" max="13040" width="7.5" style="35" customWidth="1"/>
    <col min="13041" max="13041" width="7.625" style="35" customWidth="1"/>
    <col min="13042" max="13046" width="9.75" style="35" customWidth="1"/>
    <col min="13047" max="13047" width="8" style="35" customWidth="1"/>
    <col min="13048" max="13048" width="5.375" style="35" customWidth="1"/>
    <col min="13049" max="13049" width="9" style="35"/>
    <col min="13050" max="13050" width="10.25" style="35" customWidth="1"/>
    <col min="13051" max="13051" width="11.25" style="35" customWidth="1"/>
    <col min="13052" max="13054" width="9.125" style="35" bestFit="1" customWidth="1"/>
    <col min="13055" max="13055" width="9.25" style="35" bestFit="1" customWidth="1"/>
    <col min="13056" max="13056" width="9.125" style="35" bestFit="1" customWidth="1"/>
    <col min="13057" max="13057" width="9.25" style="35" bestFit="1" customWidth="1"/>
    <col min="13058" max="13293" width="9" style="35"/>
    <col min="13294" max="13294" width="2.125" style="35" customWidth="1"/>
    <col min="13295" max="13295" width="13" style="35" customWidth="1"/>
    <col min="13296" max="13296" width="7.5" style="35" customWidth="1"/>
    <col min="13297" max="13297" width="7.625" style="35" customWidth="1"/>
    <col min="13298" max="13302" width="9.75" style="35" customWidth="1"/>
    <col min="13303" max="13303" width="8" style="35" customWidth="1"/>
    <col min="13304" max="13304" width="5.375" style="35" customWidth="1"/>
    <col min="13305" max="13305" width="9" style="35"/>
    <col min="13306" max="13306" width="10.25" style="35" customWidth="1"/>
    <col min="13307" max="13307" width="11.25" style="35" customWidth="1"/>
    <col min="13308" max="13310" width="9.125" style="35" bestFit="1" customWidth="1"/>
    <col min="13311" max="13311" width="9.25" style="35" bestFit="1" customWidth="1"/>
    <col min="13312" max="13312" width="9.125" style="35" bestFit="1" customWidth="1"/>
    <col min="13313" max="13313" width="9.25" style="35" bestFit="1" customWidth="1"/>
    <col min="13314" max="13549" width="9" style="35"/>
    <col min="13550" max="13550" width="2.125" style="35" customWidth="1"/>
    <col min="13551" max="13551" width="13" style="35" customWidth="1"/>
    <col min="13552" max="13552" width="7.5" style="35" customWidth="1"/>
    <col min="13553" max="13553" width="7.625" style="35" customWidth="1"/>
    <col min="13554" max="13558" width="9.75" style="35" customWidth="1"/>
    <col min="13559" max="13559" width="8" style="35" customWidth="1"/>
    <col min="13560" max="13560" width="5.375" style="35" customWidth="1"/>
    <col min="13561" max="13561" width="9" style="35"/>
    <col min="13562" max="13562" width="10.25" style="35" customWidth="1"/>
    <col min="13563" max="13563" width="11.25" style="35" customWidth="1"/>
    <col min="13564" max="13566" width="9.125" style="35" bestFit="1" customWidth="1"/>
    <col min="13567" max="13567" width="9.25" style="35" bestFit="1" customWidth="1"/>
    <col min="13568" max="13568" width="9.125" style="35" bestFit="1" customWidth="1"/>
    <col min="13569" max="13569" width="9.25" style="35" bestFit="1" customWidth="1"/>
    <col min="13570" max="13805" width="9" style="35"/>
    <col min="13806" max="13806" width="2.125" style="35" customWidth="1"/>
    <col min="13807" max="13807" width="13" style="35" customWidth="1"/>
    <col min="13808" max="13808" width="7.5" style="35" customWidth="1"/>
    <col min="13809" max="13809" width="7.625" style="35" customWidth="1"/>
    <col min="13810" max="13814" width="9.75" style="35" customWidth="1"/>
    <col min="13815" max="13815" width="8" style="35" customWidth="1"/>
    <col min="13816" max="13816" width="5.375" style="35" customWidth="1"/>
    <col min="13817" max="13817" width="9" style="35"/>
    <col min="13818" max="13818" width="10.25" style="35" customWidth="1"/>
    <col min="13819" max="13819" width="11.25" style="35" customWidth="1"/>
    <col min="13820" max="13822" width="9.125" style="35" bestFit="1" customWidth="1"/>
    <col min="13823" max="13823" width="9.25" style="35" bestFit="1" customWidth="1"/>
    <col min="13824" max="13824" width="9.125" style="35" bestFit="1" customWidth="1"/>
    <col min="13825" max="13825" width="9.25" style="35" bestFit="1" customWidth="1"/>
    <col min="13826" max="14061" width="9" style="35"/>
    <col min="14062" max="14062" width="2.125" style="35" customWidth="1"/>
    <col min="14063" max="14063" width="13" style="35" customWidth="1"/>
    <col min="14064" max="14064" width="7.5" style="35" customWidth="1"/>
    <col min="14065" max="14065" width="7.625" style="35" customWidth="1"/>
    <col min="14066" max="14070" width="9.75" style="35" customWidth="1"/>
    <col min="14071" max="14071" width="8" style="35" customWidth="1"/>
    <col min="14072" max="14072" width="5.375" style="35" customWidth="1"/>
    <col min="14073" max="14073" width="9" style="35"/>
    <col min="14074" max="14074" width="10.25" style="35" customWidth="1"/>
    <col min="14075" max="14075" width="11.25" style="35" customWidth="1"/>
    <col min="14076" max="14078" width="9.125" style="35" bestFit="1" customWidth="1"/>
    <col min="14079" max="14079" width="9.25" style="35" bestFit="1" customWidth="1"/>
    <col min="14080" max="14080" width="9.125" style="35" bestFit="1" customWidth="1"/>
    <col min="14081" max="14081" width="9.25" style="35" bestFit="1" customWidth="1"/>
    <col min="14082" max="14317" width="9" style="35"/>
    <col min="14318" max="14318" width="2.125" style="35" customWidth="1"/>
    <col min="14319" max="14319" width="13" style="35" customWidth="1"/>
    <col min="14320" max="14320" width="7.5" style="35" customWidth="1"/>
    <col min="14321" max="14321" width="7.625" style="35" customWidth="1"/>
    <col min="14322" max="14326" width="9.75" style="35" customWidth="1"/>
    <col min="14327" max="14327" width="8" style="35" customWidth="1"/>
    <col min="14328" max="14328" width="5.375" style="35" customWidth="1"/>
    <col min="14329" max="14329" width="9" style="35"/>
    <col min="14330" max="14330" width="10.25" style="35" customWidth="1"/>
    <col min="14331" max="14331" width="11.25" style="35" customWidth="1"/>
    <col min="14332" max="14334" width="9.125" style="35" bestFit="1" customWidth="1"/>
    <col min="14335" max="14335" width="9.25" style="35" bestFit="1" customWidth="1"/>
    <col min="14336" max="14336" width="9.125" style="35" bestFit="1" customWidth="1"/>
    <col min="14337" max="14337" width="9.25" style="35" bestFit="1" customWidth="1"/>
    <col min="14338" max="14573" width="9" style="35"/>
    <col min="14574" max="14574" width="2.125" style="35" customWidth="1"/>
    <col min="14575" max="14575" width="13" style="35" customWidth="1"/>
    <col min="14576" max="14576" width="7.5" style="35" customWidth="1"/>
    <col min="14577" max="14577" width="7.625" style="35" customWidth="1"/>
    <col min="14578" max="14582" width="9.75" style="35" customWidth="1"/>
    <col min="14583" max="14583" width="8" style="35" customWidth="1"/>
    <col min="14584" max="14584" width="5.375" style="35" customWidth="1"/>
    <col min="14585" max="14585" width="9" style="35"/>
    <col min="14586" max="14586" width="10.25" style="35" customWidth="1"/>
    <col min="14587" max="14587" width="11.25" style="35" customWidth="1"/>
    <col min="14588" max="14590" width="9.125" style="35" bestFit="1" customWidth="1"/>
    <col min="14591" max="14591" width="9.25" style="35" bestFit="1" customWidth="1"/>
    <col min="14592" max="14592" width="9.125" style="35" bestFit="1" customWidth="1"/>
    <col min="14593" max="14593" width="9.25" style="35" bestFit="1" customWidth="1"/>
    <col min="14594" max="14829" width="9" style="35"/>
    <col min="14830" max="14830" width="2.125" style="35" customWidth="1"/>
    <col min="14831" max="14831" width="13" style="35" customWidth="1"/>
    <col min="14832" max="14832" width="7.5" style="35" customWidth="1"/>
    <col min="14833" max="14833" width="7.625" style="35" customWidth="1"/>
    <col min="14834" max="14838" width="9.75" style="35" customWidth="1"/>
    <col min="14839" max="14839" width="8" style="35" customWidth="1"/>
    <col min="14840" max="14840" width="5.375" style="35" customWidth="1"/>
    <col min="14841" max="14841" width="9" style="35"/>
    <col min="14842" max="14842" width="10.25" style="35" customWidth="1"/>
    <col min="14843" max="14843" width="11.25" style="35" customWidth="1"/>
    <col min="14844" max="14846" width="9.125" style="35" bestFit="1" customWidth="1"/>
    <col min="14847" max="14847" width="9.25" style="35" bestFit="1" customWidth="1"/>
    <col min="14848" max="14848" width="9.125" style="35" bestFit="1" customWidth="1"/>
    <col min="14849" max="14849" width="9.25" style="35" bestFit="1" customWidth="1"/>
    <col min="14850" max="15085" width="9" style="35"/>
    <col min="15086" max="15086" width="2.125" style="35" customWidth="1"/>
    <col min="15087" max="15087" width="13" style="35" customWidth="1"/>
    <col min="15088" max="15088" width="7.5" style="35" customWidth="1"/>
    <col min="15089" max="15089" width="7.625" style="35" customWidth="1"/>
    <col min="15090" max="15094" width="9.75" style="35" customWidth="1"/>
    <col min="15095" max="15095" width="8" style="35" customWidth="1"/>
    <col min="15096" max="15096" width="5.375" style="35" customWidth="1"/>
    <col min="15097" max="15097" width="9" style="35"/>
    <col min="15098" max="15098" width="10.25" style="35" customWidth="1"/>
    <col min="15099" max="15099" width="11.25" style="35" customWidth="1"/>
    <col min="15100" max="15102" width="9.125" style="35" bestFit="1" customWidth="1"/>
    <col min="15103" max="15103" width="9.25" style="35" bestFit="1" customWidth="1"/>
    <col min="15104" max="15104" width="9.125" style="35" bestFit="1" customWidth="1"/>
    <col min="15105" max="15105" width="9.25" style="35" bestFit="1" customWidth="1"/>
    <col min="15106" max="15341" width="9" style="35"/>
    <col min="15342" max="15342" width="2.125" style="35" customWidth="1"/>
    <col min="15343" max="15343" width="13" style="35" customWidth="1"/>
    <col min="15344" max="15344" width="7.5" style="35" customWidth="1"/>
    <col min="15345" max="15345" width="7.625" style="35" customWidth="1"/>
    <col min="15346" max="15350" width="9.75" style="35" customWidth="1"/>
    <col min="15351" max="15351" width="8" style="35" customWidth="1"/>
    <col min="15352" max="15352" width="5.375" style="35" customWidth="1"/>
    <col min="15353" max="15353" width="9" style="35"/>
    <col min="15354" max="15354" width="10.25" style="35" customWidth="1"/>
    <col min="15355" max="15355" width="11.25" style="35" customWidth="1"/>
    <col min="15356" max="15358" width="9.125" style="35" bestFit="1" customWidth="1"/>
    <col min="15359" max="15359" width="9.25" style="35" bestFit="1" customWidth="1"/>
    <col min="15360" max="15360" width="9.125" style="35" bestFit="1" customWidth="1"/>
    <col min="15361" max="15361" width="9.25" style="35" bestFit="1" customWidth="1"/>
    <col min="15362" max="15597" width="9" style="35"/>
    <col min="15598" max="15598" width="2.125" style="35" customWidth="1"/>
    <col min="15599" max="15599" width="13" style="35" customWidth="1"/>
    <col min="15600" max="15600" width="7.5" style="35" customWidth="1"/>
    <col min="15601" max="15601" width="7.625" style="35" customWidth="1"/>
    <col min="15602" max="15606" width="9.75" style="35" customWidth="1"/>
    <col min="15607" max="15607" width="8" style="35" customWidth="1"/>
    <col min="15608" max="15608" width="5.375" style="35" customWidth="1"/>
    <col min="15609" max="15609" width="9" style="35"/>
    <col min="15610" max="15610" width="10.25" style="35" customWidth="1"/>
    <col min="15611" max="15611" width="11.25" style="35" customWidth="1"/>
    <col min="15612" max="15614" width="9.125" style="35" bestFit="1" customWidth="1"/>
    <col min="15615" max="15615" width="9.25" style="35" bestFit="1" customWidth="1"/>
    <col min="15616" max="15616" width="9.125" style="35" bestFit="1" customWidth="1"/>
    <col min="15617" max="15617" width="9.25" style="35" bestFit="1" customWidth="1"/>
    <col min="15618" max="15853" width="9" style="35"/>
    <col min="15854" max="15854" width="2.125" style="35" customWidth="1"/>
    <col min="15855" max="15855" width="13" style="35" customWidth="1"/>
    <col min="15856" max="15856" width="7.5" style="35" customWidth="1"/>
    <col min="15857" max="15857" width="7.625" style="35" customWidth="1"/>
    <col min="15858" max="15862" width="9.75" style="35" customWidth="1"/>
    <col min="15863" max="15863" width="8" style="35" customWidth="1"/>
    <col min="15864" max="15864" width="5.375" style="35" customWidth="1"/>
    <col min="15865" max="15865" width="9" style="35"/>
    <col min="15866" max="15866" width="10.25" style="35" customWidth="1"/>
    <col min="15867" max="15867" width="11.25" style="35" customWidth="1"/>
    <col min="15868" max="15870" width="9.125" style="35" bestFit="1" customWidth="1"/>
    <col min="15871" max="15871" width="9.25" style="35" bestFit="1" customWidth="1"/>
    <col min="15872" max="15872" width="9.125" style="35" bestFit="1" customWidth="1"/>
    <col min="15873" max="15873" width="9.25" style="35" bestFit="1" customWidth="1"/>
    <col min="15874" max="16109" width="9" style="35"/>
    <col min="16110" max="16110" width="2.125" style="35" customWidth="1"/>
    <col min="16111" max="16111" width="13" style="35" customWidth="1"/>
    <col min="16112" max="16112" width="7.5" style="35" customWidth="1"/>
    <col min="16113" max="16113" width="7.625" style="35" customWidth="1"/>
    <col min="16114" max="16118" width="9.75" style="35" customWidth="1"/>
    <col min="16119" max="16119" width="8" style="35" customWidth="1"/>
    <col min="16120" max="16120" width="5.375" style="35" customWidth="1"/>
    <col min="16121" max="16121" width="9" style="35"/>
    <col min="16122" max="16122" width="10.25" style="35" customWidth="1"/>
    <col min="16123" max="16123" width="11.25" style="35" customWidth="1"/>
    <col min="16124" max="16126" width="9.125" style="35" bestFit="1" customWidth="1"/>
    <col min="16127" max="16127" width="9.25" style="35" bestFit="1" customWidth="1"/>
    <col min="16128" max="16128" width="9.125" style="35" bestFit="1" customWidth="1"/>
    <col min="16129" max="16129" width="9.25" style="35" bestFit="1" customWidth="1"/>
    <col min="16130" max="16384" width="9" style="35"/>
  </cols>
  <sheetData>
    <row r="1" spans="2:14" ht="19.5">
      <c r="B1" s="257" t="s">
        <v>204</v>
      </c>
      <c r="C1" s="257"/>
      <c r="D1" s="257"/>
      <c r="E1" s="257"/>
      <c r="F1" s="257"/>
      <c r="G1" s="257"/>
      <c r="H1" s="257"/>
      <c r="I1" s="257"/>
      <c r="J1" s="257"/>
      <c r="K1" s="257"/>
    </row>
    <row r="2" spans="2:14" ht="19.5"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36">
        <v>0</v>
      </c>
      <c r="M2" s="37"/>
      <c r="N2" s="37"/>
    </row>
    <row r="3" spans="2:14" ht="16.5" customHeight="1">
      <c r="B3" s="252" t="s">
        <v>205</v>
      </c>
      <c r="C3" s="253" t="s">
        <v>185</v>
      </c>
      <c r="D3" s="255" t="s">
        <v>175</v>
      </c>
      <c r="E3" s="256"/>
      <c r="F3" s="256"/>
      <c r="G3" s="256"/>
      <c r="H3" s="256"/>
      <c r="I3" s="256"/>
      <c r="J3" s="256"/>
      <c r="K3" s="256"/>
    </row>
    <row r="4" spans="2:14">
      <c r="B4" s="252"/>
      <c r="C4" s="254"/>
      <c r="D4" s="48" t="s">
        <v>184</v>
      </c>
      <c r="E4" s="48" t="s">
        <v>183</v>
      </c>
      <c r="F4" s="48" t="s">
        <v>182</v>
      </c>
      <c r="G4" s="48" t="s">
        <v>181</v>
      </c>
      <c r="H4" s="48" t="s">
        <v>176</v>
      </c>
      <c r="I4" s="48" t="s">
        <v>177</v>
      </c>
      <c r="J4" s="48" t="s">
        <v>178</v>
      </c>
      <c r="K4" s="48" t="s">
        <v>179</v>
      </c>
      <c r="M4" s="35" t="s">
        <v>203</v>
      </c>
      <c r="N4" s="35" t="b" cm="1">
        <f t="array" ref="N4">NOT(MIN(ABS($L$2-$D6:$K6))-ABS($L$2-D6))</f>
        <v>0</v>
      </c>
    </row>
    <row r="5" spans="2:14">
      <c r="B5" s="41"/>
      <c r="C5" s="41"/>
      <c r="D5" s="42">
        <v>21.4</v>
      </c>
      <c r="E5" s="47">
        <v>27.2</v>
      </c>
      <c r="F5" s="42">
        <v>35.5</v>
      </c>
      <c r="G5" s="42">
        <v>41.2</v>
      </c>
      <c r="H5" s="42">
        <v>52.7</v>
      </c>
      <c r="I5" s="42">
        <v>65.899999999999991</v>
      </c>
      <c r="J5" s="42">
        <v>78.099999999999994</v>
      </c>
      <c r="K5" s="42">
        <v>102.3</v>
      </c>
    </row>
    <row r="6" spans="2:14" ht="17.25" customHeight="1">
      <c r="B6" s="43">
        <v>2.5</v>
      </c>
      <c r="C6" s="44" t="s">
        <v>44</v>
      </c>
      <c r="D6" s="45">
        <f t="shared" ref="D6:G6" si="0">$B$6/((D5/(1000*2))*(D5/(1000*2))*PI()*3600)</f>
        <v>1.9307234873969508</v>
      </c>
      <c r="E6" s="49">
        <f t="shared" si="0"/>
        <v>1.1951153334346716</v>
      </c>
      <c r="F6" s="45">
        <f t="shared" si="0"/>
        <v>0.70160216487864124</v>
      </c>
      <c r="G6" s="45">
        <f t="shared" si="0"/>
        <v>0.52089860512790287</v>
      </c>
      <c r="H6" s="45">
        <f>$B$6/((H5/(1000*2))*(H5/(1000*2))*PI()*3600)</f>
        <v>0.31836579121672826</v>
      </c>
      <c r="I6" s="45">
        <f>$B$6/((I5/(1000*2))*(I5/(1000*2))*PI()*3600)</f>
        <v>0.2035995422982603</v>
      </c>
      <c r="J6" s="45">
        <f>$B$6/((J5/(1000*2))*(J5/(1000*2))*PI()*3600)</f>
        <v>0.14495912497492591</v>
      </c>
      <c r="K6" s="45">
        <f>$B$6/((K5/(1000*2))*(K5/(1000*2))*PI()*3600)</f>
        <v>8.4488258642455905E-2</v>
      </c>
      <c r="M6" s="38"/>
    </row>
    <row r="7" spans="2:14" ht="17.25" customHeight="1">
      <c r="B7" s="43">
        <v>3</v>
      </c>
      <c r="C7" s="44" t="s">
        <v>44</v>
      </c>
      <c r="D7" s="45">
        <f t="shared" ref="D7:G7" si="1">$B$7/((D5/(1000*2))*(D5/(1000*2))*PI()*3600)</f>
        <v>2.3168681848763408</v>
      </c>
      <c r="E7" s="49">
        <f t="shared" si="1"/>
        <v>1.434138400121606</v>
      </c>
      <c r="F7" s="45">
        <f t="shared" si="1"/>
        <v>0.84192259785436951</v>
      </c>
      <c r="G7" s="45">
        <f t="shared" si="1"/>
        <v>0.62507832615348347</v>
      </c>
      <c r="H7" s="45">
        <f>$B$7/((H5/(1000*2))*(H5/(1000*2))*PI()*3600)</f>
        <v>0.38203894946007394</v>
      </c>
      <c r="I7" s="45">
        <f>$B$7/((I5/(1000*2))*(I5/(1000*2))*PI()*3600)</f>
        <v>0.24431945075791237</v>
      </c>
      <c r="J7" s="45">
        <f>$B$7/((J5/(1000*2))*(J5/(1000*2))*PI()*3600)</f>
        <v>0.17395094996991109</v>
      </c>
      <c r="K7" s="45">
        <f>$B$7/((K5/(1000*2))*(K5/(1000*2))*PI()*3600)</f>
        <v>0.10138591037094709</v>
      </c>
      <c r="M7" s="38"/>
    </row>
    <row r="8" spans="2:14" ht="17.25" customHeight="1">
      <c r="B8" s="43">
        <v>5</v>
      </c>
      <c r="C8" s="44" t="s">
        <v>54</v>
      </c>
      <c r="D8" s="45">
        <f t="shared" ref="D8:G8" si="2">$B$8/((D5/(1000*2))*(D5/(1000*2))*PI()*3600)</f>
        <v>3.8614469747939015</v>
      </c>
      <c r="E8" s="49">
        <f t="shared" si="2"/>
        <v>2.3902306668693432</v>
      </c>
      <c r="F8" s="45">
        <f t="shared" si="2"/>
        <v>1.4032043297572825</v>
      </c>
      <c r="G8" s="45">
        <f t="shared" si="2"/>
        <v>1.0417972102558057</v>
      </c>
      <c r="H8" s="45">
        <f>$B$8/((H5/(1000*2))*(H5/(1000*2))*PI()*3600)</f>
        <v>0.63673158243345651</v>
      </c>
      <c r="I8" s="45">
        <f>$B$8/((I5/(1000*2))*(I5/(1000*2))*PI()*3600)</f>
        <v>0.4071990845965206</v>
      </c>
      <c r="J8" s="45">
        <f>$B$8/((J5/(1000*2))*(J5/(1000*2))*PI()*3600)</f>
        <v>0.28991824994985183</v>
      </c>
      <c r="K8" s="45">
        <f>$B$8/((K5/(1000*2))*(K5/(1000*2))*PI()*3600)</f>
        <v>0.16897651728491181</v>
      </c>
      <c r="M8" s="38"/>
    </row>
    <row r="9" spans="2:14" ht="17.25" customHeight="1">
      <c r="B9" s="43">
        <v>6</v>
      </c>
      <c r="C9" s="44" t="s">
        <v>54</v>
      </c>
      <c r="D9" s="45">
        <f t="shared" ref="D9:G9" si="3">$B$9/((D5/(1000*2))*(D5/(1000*2))*PI()*3600)</f>
        <v>4.6337363697526817</v>
      </c>
      <c r="E9" s="49">
        <f t="shared" si="3"/>
        <v>2.868276800243212</v>
      </c>
      <c r="F9" s="45">
        <f t="shared" si="3"/>
        <v>1.683845195708739</v>
      </c>
      <c r="G9" s="45">
        <f t="shared" si="3"/>
        <v>1.2501566523069669</v>
      </c>
      <c r="H9" s="45">
        <f>$B$9/((H5/(1000*2))*(H5/(1000*2))*PI()*3600)</f>
        <v>0.76407789892014788</v>
      </c>
      <c r="I9" s="45">
        <f>$B$9/((I5/(1000*2))*(I5/(1000*2))*PI()*3600)</f>
        <v>0.48863890151582473</v>
      </c>
      <c r="J9" s="45">
        <f>$B$9/((J5/(1000*2))*(J5/(1000*2))*PI()*3600)</f>
        <v>0.34790189993982218</v>
      </c>
      <c r="K9" s="45">
        <f>$B$9/((K5/(1000*2))*(K5/(1000*2))*PI()*3600)</f>
        <v>0.20277182074189418</v>
      </c>
      <c r="M9" s="38"/>
    </row>
    <row r="10" spans="2:14" ht="17.25" customHeight="1">
      <c r="B10" s="43"/>
      <c r="C10" s="44"/>
      <c r="D10" s="45"/>
      <c r="E10" s="49"/>
      <c r="F10" s="45"/>
      <c r="G10" s="45"/>
      <c r="H10" s="45"/>
      <c r="I10" s="45"/>
      <c r="J10" s="45"/>
      <c r="K10" s="45"/>
      <c r="M10" s="38"/>
    </row>
    <row r="11" spans="2:14" ht="17.25" customHeight="1">
      <c r="B11" s="43">
        <v>10</v>
      </c>
      <c r="C11" s="44" t="s">
        <v>61</v>
      </c>
      <c r="D11" s="45">
        <f t="shared" ref="D11:G11" si="4">$B$11/((D5/(1000*2))*(D5/(1000*2))*PI()*3600)</f>
        <v>7.7228939495878031</v>
      </c>
      <c r="E11" s="45">
        <f t="shared" si="4"/>
        <v>4.7804613337386863</v>
      </c>
      <c r="F11" s="49">
        <f t="shared" si="4"/>
        <v>2.806408659514565</v>
      </c>
      <c r="G11" s="45">
        <f t="shared" si="4"/>
        <v>2.0835944205116115</v>
      </c>
      <c r="H11" s="45">
        <f>$B$11/((H5/(1000*2))*(H5/(1000*2))*PI()*3600)</f>
        <v>1.273463164866913</v>
      </c>
      <c r="I11" s="45">
        <f>$B$11/((I5/(1000*2))*(I5/(1000*2))*PI()*3600)</f>
        <v>0.8143981691930412</v>
      </c>
      <c r="J11" s="45">
        <f>$B$11/((J5/(1000*2))*(J5/(1000*2))*PI()*3600)</f>
        <v>0.57983649989970365</v>
      </c>
      <c r="K11" s="45">
        <f>$B$11/((K5/(1000*2))*(K5/(1000*2))*PI()*3600)</f>
        <v>0.33795303456982362</v>
      </c>
      <c r="M11" s="38"/>
    </row>
    <row r="12" spans="2:14" ht="17.25" customHeight="1">
      <c r="B12" s="43">
        <v>12</v>
      </c>
      <c r="C12" s="44" t="s">
        <v>61</v>
      </c>
      <c r="D12" s="45">
        <f t="shared" ref="D12:G12" si="5">$B$12/((D5/(1000*2))*(D5/(1000*2))*PI()*3600)</f>
        <v>9.2674727395053633</v>
      </c>
      <c r="E12" s="45">
        <f t="shared" si="5"/>
        <v>5.7365536004864239</v>
      </c>
      <c r="F12" s="45">
        <f t="shared" si="5"/>
        <v>3.3676903914174781</v>
      </c>
      <c r="G12" s="49">
        <f t="shared" si="5"/>
        <v>2.5003133046139339</v>
      </c>
      <c r="H12" s="45">
        <f>$B$12/((H5/(1000*2))*(H5/(1000*2))*PI()*3600)</f>
        <v>1.5281557978402958</v>
      </c>
      <c r="I12" s="45">
        <f>$B$12/((I5/(1000*2))*(I5/(1000*2))*PI()*3600)</f>
        <v>0.97727780303164946</v>
      </c>
      <c r="J12" s="45">
        <f>$B$12/((J5/(1000*2))*(J5/(1000*2))*PI()*3600)</f>
        <v>0.69580379987964436</v>
      </c>
      <c r="K12" s="45">
        <f>$B$12/((K5/(1000*2))*(K5/(1000*2))*PI()*3600)</f>
        <v>0.40554364148378835</v>
      </c>
      <c r="M12" s="38"/>
    </row>
    <row r="13" spans="2:14" ht="17.25" customHeight="1">
      <c r="B13" s="43"/>
      <c r="C13" s="44"/>
      <c r="D13" s="45"/>
      <c r="E13" s="45"/>
      <c r="F13" s="45"/>
      <c r="G13" s="49"/>
      <c r="H13" s="45"/>
      <c r="I13" s="45"/>
      <c r="J13" s="45"/>
      <c r="K13" s="45"/>
      <c r="M13" s="38"/>
    </row>
    <row r="14" spans="2:14" ht="17.25" customHeight="1">
      <c r="B14" s="43">
        <v>15</v>
      </c>
      <c r="C14" s="44" t="s">
        <v>68</v>
      </c>
      <c r="D14" s="45">
        <f t="shared" ref="D14:G14" si="6">$B$14/((D5/(1000*2))*(D5/(1000*2))*PI()*3600)</f>
        <v>11.584340924381705</v>
      </c>
      <c r="E14" s="45">
        <f t="shared" si="6"/>
        <v>7.1706920006080299</v>
      </c>
      <c r="F14" s="45">
        <f t="shared" si="6"/>
        <v>4.2096129892718475</v>
      </c>
      <c r="G14" s="49">
        <f t="shared" si="6"/>
        <v>3.125391630767417</v>
      </c>
      <c r="H14" s="45">
        <f>$B$14/((H5/(1000*2))*(H5/(1000*2))*PI()*3600)</f>
        <v>1.9101947473003695</v>
      </c>
      <c r="I14" s="45">
        <f>$B$14/((I5/(1000*2))*(I5/(1000*2))*PI()*3600)</f>
        <v>1.2215972537895619</v>
      </c>
      <c r="J14" s="45">
        <f>$B$14/((J5/(1000*2))*(J5/(1000*2))*PI()*3600)</f>
        <v>0.86975474984955536</v>
      </c>
      <c r="K14" s="45">
        <f>$B$14/((K5/(1000*2))*(K5/(1000*2))*PI()*3600)</f>
        <v>0.50692955185473543</v>
      </c>
      <c r="M14" s="38"/>
    </row>
    <row r="15" spans="2:14" ht="17.25" customHeight="1">
      <c r="B15" s="43"/>
      <c r="C15" s="44"/>
      <c r="D15" s="45"/>
      <c r="E15" s="45"/>
      <c r="F15" s="45"/>
      <c r="G15" s="49"/>
      <c r="H15" s="45"/>
      <c r="I15" s="45"/>
      <c r="J15" s="45"/>
      <c r="K15" s="45"/>
      <c r="M15" s="38"/>
    </row>
    <row r="16" spans="2:14" ht="17.25" customHeight="1">
      <c r="B16" s="43">
        <v>18</v>
      </c>
      <c r="C16" s="44" t="s">
        <v>68</v>
      </c>
      <c r="D16" s="45">
        <f t="shared" ref="D16:G16" si="7">$B$16/((D5/(1000*2))*(D5/(1000*2))*PI()*3600)</f>
        <v>13.901209109258046</v>
      </c>
      <c r="E16" s="45">
        <f t="shared" si="7"/>
        <v>8.6048304007296359</v>
      </c>
      <c r="F16" s="45">
        <f t="shared" si="7"/>
        <v>5.0515355871262164</v>
      </c>
      <c r="G16" s="45">
        <f t="shared" si="7"/>
        <v>3.7504699569209006</v>
      </c>
      <c r="H16" s="49">
        <f>$B$16/((H5/(1000*2))*(H5/(1000*2))*PI()*3600)</f>
        <v>2.2922336967604435</v>
      </c>
      <c r="I16" s="45">
        <f>$B$16/((I5/(1000*2))*(I5/(1000*2))*PI()*3600)</f>
        <v>1.4659167045474741</v>
      </c>
      <c r="J16" s="45">
        <f>$B$16/((J5/(1000*2))*(J5/(1000*2))*PI()*3600)</f>
        <v>1.0437056998194665</v>
      </c>
      <c r="K16" s="45">
        <f>$B$16/((K5/(1000*2))*(K5/(1000*2))*PI()*3600)</f>
        <v>0.60831546222568256</v>
      </c>
      <c r="M16" s="38"/>
    </row>
    <row r="17" spans="2:13" ht="17.25" customHeight="1">
      <c r="B17" s="43">
        <v>20</v>
      </c>
      <c r="C17" s="44" t="s">
        <v>68</v>
      </c>
      <c r="D17" s="45">
        <f t="shared" ref="D17:G17" si="8">$B$17/((D5/(1000*2))*(D5/(1000*2))*PI()*3600)</f>
        <v>15.445787899175606</v>
      </c>
      <c r="E17" s="45">
        <f t="shared" si="8"/>
        <v>9.5609226674773726</v>
      </c>
      <c r="F17" s="45">
        <f t="shared" si="8"/>
        <v>5.6128173190291299</v>
      </c>
      <c r="G17" s="45">
        <f t="shared" si="8"/>
        <v>4.167188841023223</v>
      </c>
      <c r="H17" s="49">
        <f>$B$17/((H5/(1000*2))*(H5/(1000*2))*PI()*3600)</f>
        <v>2.546926329733826</v>
      </c>
      <c r="I17" s="45">
        <f>$B$17/((I5/(1000*2))*(I5/(1000*2))*PI()*3600)</f>
        <v>1.6287963383860824</v>
      </c>
      <c r="J17" s="45">
        <f>$B$17/((J5/(1000*2))*(J5/(1000*2))*PI()*3600)</f>
        <v>1.1596729997994073</v>
      </c>
      <c r="K17" s="45">
        <f>$B$17/((K5/(1000*2))*(K5/(1000*2))*PI()*3600)</f>
        <v>0.67590606913964724</v>
      </c>
      <c r="M17" s="38"/>
    </row>
    <row r="18" spans="2:13" ht="17.25" customHeight="1">
      <c r="B18" s="43">
        <v>24</v>
      </c>
      <c r="C18" s="44" t="s">
        <v>79</v>
      </c>
      <c r="D18" s="45">
        <f t="shared" ref="D18:G18" si="9">$B$18/((D5/(1000*2))*(D5/(1000*2))*PI()*3600)</f>
        <v>18.534945479010727</v>
      </c>
      <c r="E18" s="45">
        <f t="shared" si="9"/>
        <v>11.473107200972848</v>
      </c>
      <c r="F18" s="45">
        <f t="shared" si="9"/>
        <v>6.7353807828349561</v>
      </c>
      <c r="G18" s="45">
        <f t="shared" si="9"/>
        <v>5.0006266092278677</v>
      </c>
      <c r="H18" s="49">
        <f>$B$18/((H5/(1000*2))*(H5/(1000*2))*PI()*3600)</f>
        <v>3.0563115956805915</v>
      </c>
      <c r="I18" s="45">
        <f>$B$18/((I5/(1000*2))*(I5/(1000*2))*PI()*3600)</f>
        <v>1.9545556060632989</v>
      </c>
      <c r="J18" s="45">
        <f>$B$18/((J5/(1000*2))*(J5/(1000*2))*PI()*3600)</f>
        <v>1.3916075997592887</v>
      </c>
      <c r="K18" s="46">
        <f>$B$18/((K5/(1000*2))*(K5/(1000*2))*PI()*3600)</f>
        <v>0.81108728296757671</v>
      </c>
      <c r="M18" s="38"/>
    </row>
    <row r="19" spans="2:13" ht="17.25" customHeight="1">
      <c r="B19" s="43"/>
      <c r="C19" s="44"/>
      <c r="D19" s="45"/>
      <c r="E19" s="45"/>
      <c r="F19" s="45"/>
      <c r="G19" s="45"/>
      <c r="H19" s="49"/>
      <c r="I19" s="45"/>
      <c r="J19" s="45"/>
      <c r="K19" s="46"/>
      <c r="M19" s="38"/>
    </row>
    <row r="20" spans="2:13" ht="17.25" customHeight="1">
      <c r="B20" s="43">
        <v>25</v>
      </c>
      <c r="C20" s="44" t="s">
        <v>79</v>
      </c>
      <c r="D20" s="45">
        <f t="shared" ref="D20:G20" si="10">$B$20/((D5/(1000*2))*(D5/(1000*2))*PI()*3600)</f>
        <v>19.307234873969509</v>
      </c>
      <c r="E20" s="45">
        <f t="shared" si="10"/>
        <v>11.951153334346715</v>
      </c>
      <c r="F20" s="45">
        <f t="shared" si="10"/>
        <v>7.0160216487864124</v>
      </c>
      <c r="G20" s="45">
        <f t="shared" si="10"/>
        <v>5.2089860512790285</v>
      </c>
      <c r="H20" s="45">
        <f>$B$20/((H5/(1000*2))*(H5/(1000*2))*PI()*3600)</f>
        <v>3.1836579121672828</v>
      </c>
      <c r="I20" s="49">
        <f>$B$20/((I5/(1000*2))*(I5/(1000*2))*PI()*3600)</f>
        <v>2.0359954229826029</v>
      </c>
      <c r="J20" s="45">
        <f>$B$20/((J5/(1000*2))*(J5/(1000*2))*PI()*3600)</f>
        <v>1.4495912497492589</v>
      </c>
      <c r="K20" s="45">
        <f>$B$20/((K5/(1000*2))*(K5/(1000*2))*PI()*3600)</f>
        <v>0.84488258642455916</v>
      </c>
      <c r="M20" s="38"/>
    </row>
    <row r="21" spans="2:13" ht="17.25" customHeight="1">
      <c r="B21" s="43">
        <v>26</v>
      </c>
      <c r="C21" s="44" t="s">
        <v>79</v>
      </c>
      <c r="D21" s="45">
        <f t="shared" ref="D21:G21" si="11">$B$21/((D5/(1000*2))*(D5/(1000*2))*PI()*3600)</f>
        <v>20.079524268928289</v>
      </c>
      <c r="E21" s="45">
        <f t="shared" si="11"/>
        <v>12.429199467720585</v>
      </c>
      <c r="F21" s="45">
        <f t="shared" si="11"/>
        <v>7.2966625147378688</v>
      </c>
      <c r="G21" s="45">
        <f t="shared" si="11"/>
        <v>5.4173454933301901</v>
      </c>
      <c r="H21" s="45">
        <f>$B$21/((H5/(1000*2))*(H5/(1000*2))*PI()*3600)</f>
        <v>3.311004228653974</v>
      </c>
      <c r="I21" s="49">
        <f>$B$21/((I5/(1000*2))*(I5/(1000*2))*PI()*3600)</f>
        <v>2.1174352399019072</v>
      </c>
      <c r="J21" s="45">
        <f>$B$21/((J5/(1000*2))*(J5/(1000*2))*PI()*3600)</f>
        <v>1.5075748997392293</v>
      </c>
      <c r="K21" s="45">
        <f>$B$21/((K5/(1000*2))*(K5/(1000*2))*PI()*3600)</f>
        <v>0.8786778898815415</v>
      </c>
      <c r="M21" s="38"/>
    </row>
    <row r="22" spans="2:13" ht="17.25" customHeight="1">
      <c r="B22" s="43">
        <v>30</v>
      </c>
      <c r="C22" s="44" t="s">
        <v>79</v>
      </c>
      <c r="D22" s="45">
        <f t="shared" ref="D22:G22" si="12">$B$22/((D5/(1000*2))*(D5/(1000*2))*PI()*3600)</f>
        <v>23.168681848763409</v>
      </c>
      <c r="E22" s="45">
        <f t="shared" si="12"/>
        <v>14.34138400121606</v>
      </c>
      <c r="F22" s="45">
        <f t="shared" si="12"/>
        <v>8.4192259785436949</v>
      </c>
      <c r="G22" s="45">
        <f t="shared" si="12"/>
        <v>6.250783261534834</v>
      </c>
      <c r="H22" s="45">
        <f>$B$22/((H5/(1000*2))*(H5/(1000*2))*PI()*3600)</f>
        <v>3.8203894946007391</v>
      </c>
      <c r="I22" s="49">
        <f>$B$22/((I5/(1000*2))*(I5/(1000*2))*PI()*3600)</f>
        <v>2.4431945075791237</v>
      </c>
      <c r="J22" s="45">
        <f>$B$22/((J5/(1000*2))*(J5/(1000*2))*PI()*3600)</f>
        <v>1.7395094996991107</v>
      </c>
      <c r="K22" s="45">
        <f>$B$22/((K5/(1000*2))*(K5/(1000*2))*PI()*3600)</f>
        <v>1.0138591037094709</v>
      </c>
      <c r="M22" s="38"/>
    </row>
    <row r="23" spans="2:13" ht="17.25" customHeight="1">
      <c r="B23" s="43">
        <v>35</v>
      </c>
      <c r="C23" s="44" t="s">
        <v>83</v>
      </c>
      <c r="D23" s="45">
        <f t="shared" ref="D23:G23" si="13">$B$23/((D5/(1000*2))*(D5/(1000*2))*PI()*3600)</f>
        <v>27.030128823557313</v>
      </c>
      <c r="E23" s="45">
        <f t="shared" si="13"/>
        <v>16.731614668085403</v>
      </c>
      <c r="F23" s="45">
        <f t="shared" si="13"/>
        <v>9.8224303083009765</v>
      </c>
      <c r="G23" s="45">
        <f t="shared" si="13"/>
        <v>7.2925804717906404</v>
      </c>
      <c r="H23" s="45">
        <f>$B$23/((H5/(1000*2))*(H5/(1000*2))*PI()*3600)</f>
        <v>4.4571210770341958</v>
      </c>
      <c r="I23" s="49">
        <f>$B$23/((I5/(1000*2))*(I5/(1000*2))*PI()*3600)</f>
        <v>2.850393592175644</v>
      </c>
      <c r="J23" s="45">
        <f>$B$23/((J5/(1000*2))*(J5/(1000*2))*PI()*3600)</f>
        <v>2.0294277496489626</v>
      </c>
      <c r="K23" s="45">
        <f>$B$23/((K5/(1000*2))*(K5/(1000*2))*PI()*3600)</f>
        <v>1.1828356209943827</v>
      </c>
      <c r="M23" s="38"/>
    </row>
    <row r="24" spans="2:13" ht="17.25" customHeight="1">
      <c r="B24" s="43">
        <v>36</v>
      </c>
      <c r="C24" s="44" t="s">
        <v>83</v>
      </c>
      <c r="D24" s="45">
        <f t="shared" ref="D24:G24" si="14">$B$24/((D5/(1000*2))*(D5/(1000*2))*PI()*3600)</f>
        <v>27.802418218516092</v>
      </c>
      <c r="E24" s="45">
        <f t="shared" si="14"/>
        <v>17.209660801459272</v>
      </c>
      <c r="F24" s="45">
        <f t="shared" si="14"/>
        <v>10.103071174252433</v>
      </c>
      <c r="G24" s="45">
        <f t="shared" si="14"/>
        <v>7.5009399138418011</v>
      </c>
      <c r="H24" s="45">
        <f>$B$24/((H5/(1000*2))*(H5/(1000*2))*PI()*3600)</f>
        <v>4.5844673935208871</v>
      </c>
      <c r="I24" s="49">
        <f>$B$24/((I5/(1000*2))*(I5/(1000*2))*PI()*3600)</f>
        <v>2.9318334090949483</v>
      </c>
      <c r="J24" s="45">
        <f>$B$24/((J5/(1000*2))*(J5/(1000*2))*PI()*3600)</f>
        <v>2.087411399638933</v>
      </c>
      <c r="K24" s="45">
        <f>$B$24/((K5/(1000*2))*(K5/(1000*2))*PI()*3600)</f>
        <v>1.2166309244513651</v>
      </c>
      <c r="M24" s="38"/>
    </row>
    <row r="25" spans="2:13" ht="17.25" customHeight="1">
      <c r="B25" s="43">
        <v>40</v>
      </c>
      <c r="C25" s="44" t="s">
        <v>83</v>
      </c>
      <c r="D25" s="45">
        <f t="shared" ref="D25:G25" si="15">$B$25/((D5/(1000*2))*(D5/(1000*2))*PI()*3600)</f>
        <v>30.891575798351212</v>
      </c>
      <c r="E25" s="45">
        <f t="shared" si="15"/>
        <v>19.121845334954745</v>
      </c>
      <c r="F25" s="45">
        <f t="shared" si="15"/>
        <v>11.22563463805826</v>
      </c>
      <c r="G25" s="45">
        <f t="shared" si="15"/>
        <v>8.3343776820464459</v>
      </c>
      <c r="H25" s="45">
        <f>$B$25/((H5/(1000*2))*(H5/(1000*2))*PI()*3600)</f>
        <v>5.0938526594676521</v>
      </c>
      <c r="I25" s="45">
        <f>$B$25/((I5/(1000*2))*(I5/(1000*2))*PI()*3600)</f>
        <v>3.2575926767721648</v>
      </c>
      <c r="J25" s="49">
        <f>$B$25/((J5/(1000*2))*(J5/(1000*2))*PI()*3600)</f>
        <v>2.3193459995988146</v>
      </c>
      <c r="K25" s="45">
        <f>$B$25/((K5/(1000*2))*(K5/(1000*2))*PI()*3600)</f>
        <v>1.3518121382792945</v>
      </c>
      <c r="M25" s="38"/>
    </row>
    <row r="26" spans="2:13" ht="17.25" customHeight="1">
      <c r="B26" s="43">
        <v>45</v>
      </c>
      <c r="C26" s="44" t="s">
        <v>173</v>
      </c>
      <c r="D26" s="45">
        <f t="shared" ref="D26:G26" si="16">$B$26/((D5/(1000*2))*(D5/(1000*2))*PI()*3600)</f>
        <v>34.753022773145112</v>
      </c>
      <c r="E26" s="45">
        <f t="shared" si="16"/>
        <v>21.512076001824088</v>
      </c>
      <c r="F26" s="45">
        <f t="shared" si="16"/>
        <v>12.628838967815541</v>
      </c>
      <c r="G26" s="45">
        <f t="shared" si="16"/>
        <v>9.3761748923022523</v>
      </c>
      <c r="H26" s="45">
        <f>$B$26/((H5/(1000*2))*(H5/(1000*2))*PI()*3600)</f>
        <v>5.7305842419011084</v>
      </c>
      <c r="I26" s="45">
        <f>$B$26/((I5/(1000*2))*(I5/(1000*2))*PI()*3600)</f>
        <v>3.6647917613686851</v>
      </c>
      <c r="J26" s="49">
        <f>$B$26/((J5/(1000*2))*(J5/(1000*2))*PI()*3600)</f>
        <v>2.6092642495486662</v>
      </c>
      <c r="K26" s="45">
        <f>$B$26/((K5/(1000*2))*(K5/(1000*2))*PI()*3600)</f>
        <v>1.5207886555642065</v>
      </c>
      <c r="M26" s="38"/>
    </row>
    <row r="27" spans="2:13" ht="17.25" customHeight="1">
      <c r="B27" s="43">
        <v>50</v>
      </c>
      <c r="C27" s="44" t="s">
        <v>91</v>
      </c>
      <c r="D27" s="45">
        <f t="shared" ref="D27:G27" si="17">$B$27/((D5/(1000*2))*(D5/(1000*2))*PI()*3600)</f>
        <v>38.614469747939019</v>
      </c>
      <c r="E27" s="45">
        <f t="shared" si="17"/>
        <v>23.902306668693431</v>
      </c>
      <c r="F27" s="45">
        <f t="shared" si="17"/>
        <v>14.032043297572825</v>
      </c>
      <c r="G27" s="45">
        <f t="shared" si="17"/>
        <v>10.417972102558057</v>
      </c>
      <c r="H27" s="45">
        <f>$B$27/((H5/(1000*2))*(H5/(1000*2))*PI()*3600)</f>
        <v>6.3673158243345656</v>
      </c>
      <c r="I27" s="45">
        <f>$B$27/((I5/(1000*2))*(I5/(1000*2))*PI()*3600)</f>
        <v>4.0719908459652059</v>
      </c>
      <c r="J27" s="49">
        <f>$B$27/((J5/(1000*2))*(J5/(1000*2))*PI()*3600)</f>
        <v>2.8991824994985178</v>
      </c>
      <c r="K27" s="45">
        <f>$B$27/((K5/(1000*2))*(K5/(1000*2))*PI()*3600)</f>
        <v>1.6897651728491183</v>
      </c>
      <c r="M27" s="38"/>
    </row>
    <row r="28" spans="2:13" ht="17.25" customHeight="1">
      <c r="B28" s="43">
        <v>52</v>
      </c>
      <c r="C28" s="44" t="s">
        <v>91</v>
      </c>
      <c r="D28" s="45">
        <f t="shared" ref="D28:G28" si="18">$B$28/((D5/(1000*2))*(D5/(1000*2))*PI()*3600)</f>
        <v>40.159048537856577</v>
      </c>
      <c r="E28" s="45">
        <f t="shared" si="18"/>
        <v>24.858398935441169</v>
      </c>
      <c r="F28" s="45">
        <f t="shared" si="18"/>
        <v>14.593325029475738</v>
      </c>
      <c r="G28" s="45">
        <f t="shared" si="18"/>
        <v>10.83469098666038</v>
      </c>
      <c r="H28" s="45">
        <f>$B$28/((H5/(1000*2))*(H5/(1000*2))*PI()*3600)</f>
        <v>6.6220084573079481</v>
      </c>
      <c r="I28" s="45">
        <f>$B$28/((I5/(1000*2))*(I5/(1000*2))*PI()*3600)</f>
        <v>4.2348704798038144</v>
      </c>
      <c r="J28" s="49">
        <f>$B$28/((J5/(1000*2))*(J5/(1000*2))*PI()*3600)</f>
        <v>3.0151497994784586</v>
      </c>
      <c r="K28" s="45">
        <f>$B$28/((K5/(1000*2))*(K5/(1000*2))*PI()*3600)</f>
        <v>1.757355779763083</v>
      </c>
      <c r="M28" s="38"/>
    </row>
    <row r="29" spans="2:13" ht="17.25" customHeight="1">
      <c r="B29" s="43"/>
      <c r="C29" s="44"/>
      <c r="D29" s="45"/>
      <c r="E29" s="45"/>
      <c r="F29" s="45"/>
      <c r="G29" s="45"/>
      <c r="H29" s="45"/>
      <c r="I29" s="45"/>
      <c r="J29" s="49"/>
      <c r="K29" s="45"/>
      <c r="M29" s="38"/>
    </row>
    <row r="30" spans="2:13" ht="17.25" customHeight="1">
      <c r="B30" s="43">
        <v>55</v>
      </c>
      <c r="C30" s="44" t="s">
        <v>174</v>
      </c>
      <c r="D30" s="45">
        <f t="shared" ref="D30:G30" si="19">$B$30/((D5/(1000*2))*(D5/(1000*2))*PI()*3600)</f>
        <v>42.475916722732919</v>
      </c>
      <c r="E30" s="45">
        <f t="shared" si="19"/>
        <v>26.292537335562777</v>
      </c>
      <c r="F30" s="45">
        <f t="shared" si="19"/>
        <v>15.435247627330106</v>
      </c>
      <c r="G30" s="45">
        <f t="shared" si="19"/>
        <v>11.459769312813863</v>
      </c>
      <c r="H30" s="45">
        <f>$B$30/((H5/(1000*2))*(H5/(1000*2))*PI()*3600)</f>
        <v>7.0040474067680218</v>
      </c>
      <c r="I30" s="45">
        <f>$B$30/((I5/(1000*2))*(I5/(1000*2))*PI()*3600)</f>
        <v>4.4791899305617262</v>
      </c>
      <c r="J30" s="45">
        <f>$B$30/((J5/(1000*2))*(J5/(1000*2))*PI()*3600)</f>
        <v>3.1891007494483699</v>
      </c>
      <c r="K30" s="49">
        <f>$B$30/((K5/(1000*2))*(K5/(1000*2))*PI()*3600)</f>
        <v>1.8587416901340301</v>
      </c>
      <c r="M30" s="38"/>
    </row>
    <row r="31" spans="2:13" ht="17.25" customHeight="1">
      <c r="B31" s="43">
        <v>60</v>
      </c>
      <c r="C31" s="44" t="s">
        <v>91</v>
      </c>
      <c r="D31" s="45">
        <f t="shared" ref="D31:G31" si="20">$B$31/((D5/(1000*2))*(D5/(1000*2))*PI()*3600)</f>
        <v>46.337363697526818</v>
      </c>
      <c r="E31" s="45">
        <f t="shared" si="20"/>
        <v>28.68276800243212</v>
      </c>
      <c r="F31" s="45">
        <f t="shared" si="20"/>
        <v>16.83845195708739</v>
      </c>
      <c r="G31" s="45">
        <f t="shared" si="20"/>
        <v>12.501566523069668</v>
      </c>
      <c r="H31" s="45">
        <f>$B$31/((H5/(1000*2))*(H5/(1000*2))*PI()*3600)</f>
        <v>7.6407789892014781</v>
      </c>
      <c r="I31" s="45">
        <f>$B$31/((I5/(1000*2))*(I5/(1000*2))*PI()*3600)</f>
        <v>4.8863890151582474</v>
      </c>
      <c r="J31" s="45">
        <f>$B$31/((J5/(1000*2))*(J5/(1000*2))*PI()*3600)</f>
        <v>3.4790189993982215</v>
      </c>
      <c r="K31" s="49">
        <f>$B$31/((K5/(1000*2))*(K5/(1000*2))*PI()*3600)</f>
        <v>2.0277182074189417</v>
      </c>
      <c r="M31" s="38"/>
    </row>
    <row r="32" spans="2:13" ht="17.25" customHeight="1">
      <c r="B32" s="43">
        <v>65</v>
      </c>
      <c r="C32" s="44" t="s">
        <v>174</v>
      </c>
      <c r="D32" s="45">
        <f t="shared" ref="D32:G32" si="21">$B$32/((D5/(1000*2))*(D5/(1000*2))*PI()*3600)</f>
        <v>50.198810672320718</v>
      </c>
      <c r="E32" s="45">
        <f t="shared" si="21"/>
        <v>31.072998669301462</v>
      </c>
      <c r="F32" s="45">
        <f t="shared" si="21"/>
        <v>18.241656286844673</v>
      </c>
      <c r="G32" s="45">
        <f t="shared" si="21"/>
        <v>13.543363733325474</v>
      </c>
      <c r="H32" s="45">
        <f>$B$32/((H5/(1000*2))*(H5/(1000*2))*PI()*3600)</f>
        <v>8.2775105716349344</v>
      </c>
      <c r="I32" s="45">
        <f>$B$32/((I5/(1000*2))*(I5/(1000*2))*PI()*3600)</f>
        <v>5.2935880997547677</v>
      </c>
      <c r="J32" s="45">
        <f>$B$32/((J5/(1000*2))*(J5/(1000*2))*PI()*3600)</f>
        <v>3.7689372493480735</v>
      </c>
      <c r="K32" s="49">
        <f>$B$32/((K5/(1000*2))*(K5/(1000*2))*PI()*3600)</f>
        <v>2.1966947247038537</v>
      </c>
      <c r="M32" s="38"/>
    </row>
    <row r="33" spans="2:13" ht="17.25" customHeight="1">
      <c r="B33" s="43">
        <v>72</v>
      </c>
      <c r="C33" s="44" t="s">
        <v>91</v>
      </c>
      <c r="D33" s="45">
        <f t="shared" ref="D33:G33" si="22">$B$33/((D5/(1000*2))*(D5/(1000*2))*PI()*3600)</f>
        <v>55.604836437032183</v>
      </c>
      <c r="E33" s="45">
        <f t="shared" si="22"/>
        <v>34.419321602918544</v>
      </c>
      <c r="F33" s="45">
        <f t="shared" si="22"/>
        <v>20.206142348504866</v>
      </c>
      <c r="G33" s="45">
        <f t="shared" si="22"/>
        <v>15.001879827683602</v>
      </c>
      <c r="H33" s="45">
        <f>$B$33/((H5/(1000*2))*(H5/(1000*2))*PI()*3600)</f>
        <v>9.1689347870417741</v>
      </c>
      <c r="I33" s="45">
        <f>$B$33/((I5/(1000*2))*(I5/(1000*2))*PI()*3600)</f>
        <v>5.8636668181898965</v>
      </c>
      <c r="J33" s="45">
        <f>$B$33/((J5/(1000*2))*(J5/(1000*2))*PI()*3600)</f>
        <v>4.1748227992778659</v>
      </c>
      <c r="K33" s="49">
        <f>$B$33/((K5/(1000*2))*(K5/(1000*2))*PI()*3600)</f>
        <v>2.4332618489027302</v>
      </c>
      <c r="M33" s="38"/>
    </row>
    <row r="34" spans="2:13" ht="17.25" customHeight="1">
      <c r="B34" s="43"/>
      <c r="C34" s="44"/>
      <c r="D34" s="45"/>
      <c r="E34" s="45"/>
      <c r="F34" s="45"/>
      <c r="G34" s="45"/>
      <c r="H34" s="45"/>
      <c r="I34" s="45"/>
      <c r="J34" s="45"/>
      <c r="K34" s="49"/>
      <c r="M34" s="38"/>
    </row>
    <row r="35" spans="2:13" ht="17.25" customHeight="1">
      <c r="B35" s="43">
        <v>75</v>
      </c>
      <c r="C35" s="44" t="s">
        <v>174</v>
      </c>
      <c r="D35" s="45">
        <f t="shared" ref="D35:G35" si="23">$B$35/((D5/(1000*2))*(D5/(1000*2))*PI()*3600)</f>
        <v>57.921704621908525</v>
      </c>
      <c r="E35" s="45">
        <f t="shared" si="23"/>
        <v>35.853460003040148</v>
      </c>
      <c r="F35" s="45">
        <f t="shared" si="23"/>
        <v>21.048064946359236</v>
      </c>
      <c r="G35" s="45">
        <f t="shared" si="23"/>
        <v>15.626958153837085</v>
      </c>
      <c r="H35" s="45">
        <f>$B$35/((H5/(1000*2))*(H5/(1000*2))*PI()*3600)</f>
        <v>9.550973736501847</v>
      </c>
      <c r="I35" s="45">
        <f>$B$35/((I5/(1000*2))*(I5/(1000*2))*PI()*3600)</f>
        <v>6.1079862689478093</v>
      </c>
      <c r="J35" s="45">
        <f>$B$35/((J5/(1000*2))*(J5/(1000*2))*PI()*3600)</f>
        <v>4.3487737492477772</v>
      </c>
      <c r="K35" s="49">
        <f>$B$35/((K5/(1000*2))*(K5/(1000*2))*PI()*3600)</f>
        <v>2.5346477592736774</v>
      </c>
      <c r="M35" s="38"/>
    </row>
    <row r="36" spans="2:13" ht="17.25" customHeight="1">
      <c r="B36" s="43">
        <v>80</v>
      </c>
      <c r="C36" s="44" t="s">
        <v>91</v>
      </c>
      <c r="D36" s="45">
        <f t="shared" ref="D36:G36" si="24">$B$36/((D5/(1000*2))*(D5/(1000*2))*PI()*3600)</f>
        <v>61.783151596702425</v>
      </c>
      <c r="E36" s="45">
        <f t="shared" si="24"/>
        <v>38.243690669909491</v>
      </c>
      <c r="F36" s="45">
        <f t="shared" si="24"/>
        <v>22.45126927611652</v>
      </c>
      <c r="G36" s="45">
        <f t="shared" si="24"/>
        <v>16.668755364092892</v>
      </c>
      <c r="H36" s="45">
        <f>$B$36/((H5/(1000*2))*(H5/(1000*2))*PI()*3600)</f>
        <v>10.187705318935304</v>
      </c>
      <c r="I36" s="45">
        <f>$B$36/((I5/(1000*2))*(I5/(1000*2))*PI()*3600)</f>
        <v>6.5151853535443296</v>
      </c>
      <c r="J36" s="45">
        <f>$B$36/((J5/(1000*2))*(J5/(1000*2))*PI()*3600)</f>
        <v>4.6386919991976292</v>
      </c>
      <c r="K36" s="49">
        <f>$B$36/((K5/(1000*2))*(K5/(1000*2))*PI()*3600)</f>
        <v>2.7036242765585889</v>
      </c>
      <c r="M36" s="38"/>
    </row>
    <row r="38" spans="2:13">
      <c r="H38" s="39" t="s">
        <v>180</v>
      </c>
    </row>
  </sheetData>
  <mergeCells count="5">
    <mergeCell ref="B3:B4"/>
    <mergeCell ref="C3:C4"/>
    <mergeCell ref="D3:K3"/>
    <mergeCell ref="B1:K1"/>
    <mergeCell ref="B2:K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978CC-E41B-4C60-8475-40C753B9916B}">
  <sheetPr codeName="Sheet1">
    <pageSetUpPr fitToPage="1"/>
  </sheetPr>
  <dimension ref="A1:M56"/>
  <sheetViews>
    <sheetView zoomScale="85" zoomScaleNormal="85" workbookViewId="0">
      <selection sqref="A1:XFD1048576"/>
    </sheetView>
  </sheetViews>
  <sheetFormatPr defaultColWidth="9" defaultRowHeight="25.5" customHeight="1"/>
  <cols>
    <col min="1" max="1" width="20.75" style="18" customWidth="1"/>
    <col min="2" max="2" width="5.75" style="1" bestFit="1" customWidth="1"/>
    <col min="3" max="3" width="122.375" style="1" bestFit="1" customWidth="1"/>
    <col min="4" max="4" width="26.5" style="1" bestFit="1" customWidth="1"/>
    <col min="5" max="7" width="7.125" style="1" bestFit="1" customWidth="1"/>
    <col min="8" max="8" width="1" style="2" customWidth="1"/>
    <col min="9" max="9" width="134" style="2" customWidth="1"/>
    <col min="10" max="10" width="9" style="2" customWidth="1"/>
    <col min="11" max="16384" width="9" style="1"/>
  </cols>
  <sheetData>
    <row r="1" spans="1:10" ht="18.75" customHeight="1">
      <c r="E1" s="183" t="s">
        <v>15</v>
      </c>
      <c r="F1" s="183"/>
      <c r="G1" s="183"/>
    </row>
    <row r="2" spans="1:10" s="6" customFormat="1" ht="25.5" customHeight="1">
      <c r="A2" s="184" t="s">
        <v>25</v>
      </c>
      <c r="B2" s="185"/>
      <c r="C2" s="186"/>
      <c r="D2" s="22" t="s">
        <v>1</v>
      </c>
      <c r="E2" s="3" t="s">
        <v>2</v>
      </c>
      <c r="F2" s="4" t="s">
        <v>3</v>
      </c>
      <c r="G2" s="4" t="s">
        <v>4</v>
      </c>
      <c r="H2" s="5"/>
      <c r="I2" s="5"/>
      <c r="J2" s="5"/>
    </row>
    <row r="3" spans="1:10" s="6" customFormat="1" ht="25.5" customHeight="1">
      <c r="A3" s="187"/>
      <c r="B3" s="188"/>
      <c r="C3" s="189"/>
      <c r="D3" s="22" t="s">
        <v>163</v>
      </c>
      <c r="E3" s="193"/>
      <c r="F3" s="194"/>
      <c r="G3" s="194"/>
      <c r="H3" s="5"/>
      <c r="I3" s="5" t="s">
        <v>23</v>
      </c>
      <c r="J3" s="5"/>
    </row>
    <row r="4" spans="1:10" s="6" customFormat="1" ht="25.5" customHeight="1">
      <c r="A4" s="190"/>
      <c r="B4" s="191"/>
      <c r="C4" s="192"/>
      <c r="D4" s="22" t="s">
        <v>164</v>
      </c>
      <c r="E4" s="193"/>
      <c r="F4" s="194"/>
      <c r="G4" s="194"/>
      <c r="H4" s="5"/>
      <c r="I4" s="5" t="s">
        <v>24</v>
      </c>
      <c r="J4" s="5"/>
    </row>
    <row r="5" spans="1:10" s="6" customFormat="1" ht="25.5" customHeight="1">
      <c r="A5" s="195" t="s">
        <v>5</v>
      </c>
      <c r="B5" s="195"/>
      <c r="C5" s="195"/>
      <c r="D5" s="7" t="s">
        <v>6</v>
      </c>
      <c r="E5" s="195" t="s">
        <v>7</v>
      </c>
      <c r="F5" s="195"/>
      <c r="G5" s="195"/>
      <c r="H5" s="8"/>
      <c r="I5" s="5"/>
      <c r="J5" s="5"/>
    </row>
    <row r="6" spans="1:10" s="6" customFormat="1" ht="25.5" customHeight="1">
      <c r="A6" s="196" t="s">
        <v>8</v>
      </c>
      <c r="B6" s="10">
        <v>1</v>
      </c>
      <c r="C6" s="9" t="s">
        <v>16</v>
      </c>
      <c r="D6" s="11"/>
      <c r="E6" s="11"/>
      <c r="F6" s="11"/>
      <c r="G6" s="11"/>
      <c r="H6" s="8"/>
      <c r="I6" s="5"/>
    </row>
    <row r="7" spans="1:10" s="6" customFormat="1" ht="25.5" customHeight="1">
      <c r="A7" s="197"/>
      <c r="B7" s="10">
        <v>2</v>
      </c>
      <c r="C7" s="12" t="s">
        <v>26</v>
      </c>
      <c r="D7" s="11"/>
      <c r="E7" s="11"/>
      <c r="F7" s="11"/>
      <c r="G7" s="11"/>
      <c r="H7" s="8"/>
      <c r="I7" s="5"/>
    </row>
    <row r="8" spans="1:10" s="6" customFormat="1" ht="25.5" customHeight="1">
      <c r="A8" s="197"/>
      <c r="B8" s="10">
        <v>3</v>
      </c>
      <c r="C8" s="12" t="s">
        <v>9</v>
      </c>
      <c r="D8" s="11"/>
      <c r="E8" s="11"/>
      <c r="F8" s="11"/>
      <c r="G8" s="11"/>
      <c r="H8" s="8"/>
      <c r="I8" s="5"/>
    </row>
    <row r="9" spans="1:10" s="6" customFormat="1" ht="25.5" customHeight="1">
      <c r="A9" s="197"/>
      <c r="B9" s="10">
        <v>4</v>
      </c>
      <c r="C9" s="12" t="s">
        <v>27</v>
      </c>
      <c r="D9" s="11"/>
      <c r="E9" s="11"/>
      <c r="F9" s="11"/>
      <c r="G9" s="11"/>
      <c r="H9" s="8"/>
      <c r="I9" s="5"/>
    </row>
    <row r="10" spans="1:10" s="6" customFormat="1" ht="25.5" customHeight="1">
      <c r="A10" s="196" t="s">
        <v>10</v>
      </c>
      <c r="B10" s="13">
        <v>1</v>
      </c>
      <c r="C10" s="12" t="s">
        <v>31</v>
      </c>
      <c r="D10" s="11"/>
      <c r="E10" s="11"/>
      <c r="F10" s="11"/>
      <c r="G10" s="11"/>
      <c r="H10" s="8"/>
      <c r="I10" s="5"/>
      <c r="J10" s="5"/>
    </row>
    <row r="11" spans="1:10" ht="25.5" customHeight="1">
      <c r="A11" s="197"/>
      <c r="B11" s="13">
        <v>2</v>
      </c>
      <c r="C11" s="12" t="s">
        <v>11</v>
      </c>
      <c r="D11" s="14"/>
      <c r="E11" s="14"/>
      <c r="F11" s="14"/>
      <c r="G11" s="14"/>
      <c r="H11" s="15"/>
    </row>
    <row r="12" spans="1:10" ht="45" customHeight="1">
      <c r="A12" s="197"/>
      <c r="B12" s="13">
        <v>3</v>
      </c>
      <c r="C12" s="12" t="s">
        <v>123</v>
      </c>
      <c r="D12" s="14"/>
      <c r="E12" s="14"/>
      <c r="F12" s="14"/>
      <c r="G12" s="14"/>
      <c r="H12" s="15"/>
    </row>
    <row r="13" spans="1:10" s="6" customFormat="1" ht="41.25" customHeight="1">
      <c r="A13" s="198"/>
      <c r="B13" s="10">
        <v>4</v>
      </c>
      <c r="C13" s="12" t="s">
        <v>124</v>
      </c>
      <c r="D13" s="11"/>
      <c r="E13" s="11"/>
      <c r="F13" s="11"/>
      <c r="G13" s="11"/>
      <c r="H13" s="8"/>
      <c r="I13" s="5"/>
    </row>
    <row r="14" spans="1:10" s="6" customFormat="1" ht="25.5" customHeight="1">
      <c r="A14" s="180" t="s">
        <v>29</v>
      </c>
      <c r="B14" s="13">
        <v>1</v>
      </c>
      <c r="C14" s="12" t="s">
        <v>144</v>
      </c>
      <c r="D14" s="11"/>
      <c r="E14" s="11"/>
      <c r="F14" s="11"/>
      <c r="G14" s="11"/>
      <c r="H14" s="8"/>
      <c r="I14" s="5"/>
      <c r="J14" s="5"/>
    </row>
    <row r="15" spans="1:10" s="6" customFormat="1" ht="81" customHeight="1">
      <c r="A15" s="182"/>
      <c r="B15" s="13">
        <v>2</v>
      </c>
      <c r="C15" s="12" t="s">
        <v>145</v>
      </c>
      <c r="D15" s="11"/>
      <c r="E15" s="11"/>
      <c r="F15" s="11"/>
      <c r="G15" s="11"/>
      <c r="H15" s="8"/>
      <c r="I15" s="5"/>
      <c r="J15" s="5"/>
    </row>
    <row r="16" spans="1:10" s="6" customFormat="1" ht="25.5" customHeight="1">
      <c r="A16" s="180" t="s">
        <v>28</v>
      </c>
      <c r="B16" s="13">
        <v>1</v>
      </c>
      <c r="C16" s="12" t="s">
        <v>125</v>
      </c>
      <c r="D16" s="11"/>
      <c r="E16" s="11"/>
      <c r="F16" s="11"/>
      <c r="G16" s="11"/>
      <c r="H16" s="8"/>
      <c r="I16" s="5"/>
    </row>
    <row r="17" spans="1:10" s="6" customFormat="1" ht="25.5" customHeight="1">
      <c r="A17" s="181"/>
      <c r="B17" s="13">
        <v>2</v>
      </c>
      <c r="C17" s="12" t="s">
        <v>126</v>
      </c>
      <c r="D17" s="10"/>
      <c r="E17" s="10"/>
      <c r="F17" s="10"/>
      <c r="G17" s="10"/>
      <c r="H17" s="8"/>
      <c r="I17" s="5"/>
    </row>
    <row r="18" spans="1:10" s="6" customFormat="1" ht="25.5" customHeight="1">
      <c r="A18" s="182"/>
      <c r="B18" s="13">
        <v>3</v>
      </c>
      <c r="C18" s="12" t="s">
        <v>127</v>
      </c>
      <c r="D18" s="10"/>
      <c r="E18" s="10"/>
      <c r="F18" s="10"/>
      <c r="G18" s="10"/>
      <c r="H18" s="8"/>
      <c r="I18" s="5"/>
    </row>
    <row r="19" spans="1:10" s="5" customFormat="1" ht="135" customHeight="1">
      <c r="A19" s="196" t="s">
        <v>0</v>
      </c>
      <c r="B19" s="13">
        <v>1</v>
      </c>
      <c r="C19" s="12" t="s">
        <v>128</v>
      </c>
      <c r="D19" s="10"/>
      <c r="E19" s="10"/>
      <c r="F19" s="10"/>
      <c r="G19" s="10"/>
      <c r="H19" s="8"/>
    </row>
    <row r="20" spans="1:10" s="6" customFormat="1" ht="25.5" customHeight="1">
      <c r="A20" s="197"/>
      <c r="B20" s="10">
        <v>2</v>
      </c>
      <c r="C20" s="12" t="s">
        <v>130</v>
      </c>
      <c r="D20" s="11"/>
      <c r="E20" s="11"/>
      <c r="F20" s="11"/>
      <c r="G20" s="11"/>
      <c r="H20" s="8"/>
      <c r="I20" s="5"/>
      <c r="J20" s="5"/>
    </row>
    <row r="21" spans="1:10" s="5" customFormat="1" ht="25.5" customHeight="1">
      <c r="A21" s="198"/>
      <c r="B21" s="13">
        <v>3</v>
      </c>
      <c r="C21" s="12" t="s">
        <v>129</v>
      </c>
      <c r="D21" s="10"/>
      <c r="E21" s="10"/>
      <c r="F21" s="16"/>
      <c r="G21" s="10"/>
      <c r="H21" s="8"/>
    </row>
    <row r="22" spans="1:10" s="6" customFormat="1" ht="31.5" customHeight="1">
      <c r="A22" s="180" t="s">
        <v>30</v>
      </c>
      <c r="B22" s="13">
        <v>1</v>
      </c>
      <c r="C22" s="12" t="s">
        <v>131</v>
      </c>
      <c r="D22" s="11"/>
      <c r="E22" s="11"/>
      <c r="F22" s="11"/>
      <c r="G22" s="11"/>
      <c r="H22" s="8"/>
      <c r="I22" s="5"/>
      <c r="J22" s="5"/>
    </row>
    <row r="23" spans="1:10" s="6" customFormat="1" ht="31.5" customHeight="1">
      <c r="A23" s="182"/>
      <c r="B23" s="13">
        <v>2</v>
      </c>
      <c r="C23" s="12" t="s">
        <v>132</v>
      </c>
      <c r="D23" s="11"/>
      <c r="E23" s="11"/>
      <c r="F23" s="11"/>
      <c r="G23" s="11"/>
      <c r="H23" s="8"/>
      <c r="I23" s="5"/>
      <c r="J23" s="5"/>
    </row>
    <row r="24" spans="1:10" s="6" customFormat="1" ht="25.5" customHeight="1">
      <c r="A24" s="180" t="s">
        <v>32</v>
      </c>
      <c r="B24" s="13">
        <v>1</v>
      </c>
      <c r="C24" s="12" t="s">
        <v>133</v>
      </c>
      <c r="D24" s="10"/>
      <c r="E24" s="10"/>
      <c r="F24" s="10"/>
      <c r="G24" s="10"/>
      <c r="H24" s="8"/>
      <c r="I24" s="5"/>
      <c r="J24" s="5"/>
    </row>
    <row r="25" spans="1:10" s="6" customFormat="1" ht="25.5" customHeight="1">
      <c r="A25" s="182"/>
      <c r="B25" s="13">
        <v>2</v>
      </c>
      <c r="C25" s="12" t="s">
        <v>139</v>
      </c>
      <c r="D25" s="10"/>
      <c r="E25" s="10"/>
      <c r="F25" s="10"/>
      <c r="G25" s="10"/>
      <c r="H25" s="8"/>
      <c r="I25" s="5"/>
      <c r="J25" s="5"/>
    </row>
    <row r="26" spans="1:10" s="6" customFormat="1" ht="64.5" customHeight="1">
      <c r="A26" s="180" t="s">
        <v>33</v>
      </c>
      <c r="B26" s="13">
        <v>1</v>
      </c>
      <c r="C26" s="12" t="s">
        <v>34</v>
      </c>
      <c r="D26" s="10"/>
      <c r="E26" s="10"/>
      <c r="F26" s="10"/>
      <c r="G26" s="10"/>
      <c r="H26" s="8"/>
      <c r="I26" s="5"/>
      <c r="J26" s="5"/>
    </row>
    <row r="27" spans="1:10" s="6" customFormat="1" ht="25.5" customHeight="1">
      <c r="A27" s="181"/>
      <c r="B27" s="13">
        <v>2</v>
      </c>
      <c r="C27" s="12" t="s">
        <v>134</v>
      </c>
      <c r="D27" s="11"/>
      <c r="E27" s="11"/>
      <c r="F27" s="11"/>
      <c r="G27" s="11"/>
      <c r="H27" s="8"/>
      <c r="I27" s="5"/>
      <c r="J27" s="5"/>
    </row>
    <row r="28" spans="1:10" s="6" customFormat="1" ht="24.75" customHeight="1">
      <c r="A28" s="182"/>
      <c r="B28" s="13">
        <v>3</v>
      </c>
      <c r="C28" s="12" t="s">
        <v>137</v>
      </c>
      <c r="D28" s="11"/>
      <c r="E28" s="11"/>
      <c r="F28" s="11"/>
      <c r="G28" s="11"/>
      <c r="H28" s="8"/>
      <c r="I28" s="5"/>
      <c r="J28" s="5"/>
    </row>
    <row r="29" spans="1:10" s="5" customFormat="1" ht="25.5" customHeight="1">
      <c r="A29" s="180" t="s">
        <v>135</v>
      </c>
      <c r="B29" s="13">
        <v>1</v>
      </c>
      <c r="C29" s="12" t="s">
        <v>140</v>
      </c>
      <c r="D29" s="10"/>
      <c r="E29" s="10"/>
      <c r="F29" s="10"/>
      <c r="G29" s="10"/>
      <c r="H29" s="8"/>
    </row>
    <row r="30" spans="1:10" s="5" customFormat="1" ht="25.5" customHeight="1">
      <c r="A30" s="181"/>
      <c r="B30" s="13">
        <v>2</v>
      </c>
      <c r="C30" s="12" t="s">
        <v>138</v>
      </c>
      <c r="D30" s="10"/>
      <c r="E30" s="10"/>
      <c r="F30" s="10"/>
      <c r="G30" s="10"/>
      <c r="H30" s="8"/>
    </row>
    <row r="31" spans="1:10" s="6" customFormat="1" ht="25.5" customHeight="1">
      <c r="A31" s="182"/>
      <c r="B31" s="13">
        <v>3</v>
      </c>
      <c r="C31" s="12" t="s">
        <v>136</v>
      </c>
      <c r="D31" s="10"/>
      <c r="E31" s="10"/>
      <c r="F31" s="10"/>
      <c r="G31" s="10"/>
      <c r="H31" s="8"/>
      <c r="I31" s="5"/>
      <c r="J31" s="5"/>
    </row>
    <row r="32" spans="1:10" s="6" customFormat="1" ht="25.5" customHeight="1">
      <c r="A32" s="180" t="s">
        <v>12</v>
      </c>
      <c r="B32" s="13">
        <v>1</v>
      </c>
      <c r="C32" s="16" t="s">
        <v>19</v>
      </c>
      <c r="D32" s="10"/>
      <c r="E32" s="10"/>
      <c r="F32" s="10"/>
      <c r="G32" s="10"/>
      <c r="H32" s="8"/>
      <c r="I32" s="5"/>
      <c r="J32" s="5"/>
    </row>
    <row r="33" spans="1:10" s="6" customFormat="1" ht="25.5" customHeight="1">
      <c r="A33" s="182"/>
      <c r="B33" s="13">
        <v>2</v>
      </c>
      <c r="C33" s="16" t="s">
        <v>35</v>
      </c>
      <c r="D33" s="10"/>
      <c r="E33" s="10"/>
      <c r="F33" s="10"/>
      <c r="G33" s="10"/>
      <c r="H33" s="8"/>
      <c r="I33" s="5"/>
      <c r="J33" s="5"/>
    </row>
    <row r="34" spans="1:10" s="6" customFormat="1" ht="57.75" customHeight="1">
      <c r="A34" s="23" t="s">
        <v>36</v>
      </c>
      <c r="B34" s="13">
        <v>1</v>
      </c>
      <c r="C34" s="16" t="s">
        <v>146</v>
      </c>
      <c r="D34" s="10"/>
      <c r="E34" s="10"/>
      <c r="F34" s="10"/>
      <c r="G34" s="10"/>
      <c r="H34" s="8"/>
      <c r="I34" s="5"/>
      <c r="J34" s="5"/>
    </row>
    <row r="35" spans="1:10" s="6" customFormat="1" ht="25.5" customHeight="1">
      <c r="A35" s="180" t="s">
        <v>141</v>
      </c>
      <c r="B35" s="13">
        <v>1</v>
      </c>
      <c r="C35" s="12" t="s">
        <v>37</v>
      </c>
      <c r="D35" s="10"/>
      <c r="E35" s="10"/>
      <c r="F35" s="10"/>
      <c r="G35" s="10"/>
      <c r="H35" s="8"/>
      <c r="I35" s="5"/>
      <c r="J35" s="5"/>
    </row>
    <row r="36" spans="1:10" s="6" customFormat="1" ht="42" customHeight="1">
      <c r="A36" s="181"/>
      <c r="B36" s="13">
        <v>2</v>
      </c>
      <c r="C36" s="12" t="s">
        <v>38</v>
      </c>
      <c r="D36" s="10"/>
      <c r="E36" s="10"/>
      <c r="F36" s="10"/>
      <c r="G36" s="10"/>
      <c r="H36" s="8"/>
      <c r="I36" s="5"/>
      <c r="J36" s="5"/>
    </row>
    <row r="37" spans="1:10" s="5" customFormat="1" ht="25.5" customHeight="1">
      <c r="A37" s="19" t="s">
        <v>142</v>
      </c>
      <c r="B37" s="13">
        <v>1</v>
      </c>
      <c r="C37" s="12" t="s">
        <v>13</v>
      </c>
      <c r="D37" s="10"/>
      <c r="E37" s="10"/>
      <c r="F37" s="10"/>
      <c r="G37" s="10"/>
      <c r="H37" s="8"/>
    </row>
    <row r="38" spans="1:10" s="6" customFormat="1" ht="25.5" customHeight="1">
      <c r="A38" s="180" t="s">
        <v>143</v>
      </c>
      <c r="B38" s="26">
        <v>1</v>
      </c>
      <c r="C38" s="12" t="s">
        <v>39</v>
      </c>
      <c r="D38" s="10"/>
      <c r="E38" s="10"/>
      <c r="F38" s="10"/>
      <c r="G38" s="10"/>
      <c r="H38" s="8"/>
      <c r="I38" s="5"/>
      <c r="J38" s="5"/>
    </row>
    <row r="39" spans="1:10" s="6" customFormat="1" ht="25.5" customHeight="1">
      <c r="A39" s="182"/>
      <c r="B39" s="13">
        <v>2</v>
      </c>
      <c r="C39" s="12" t="s">
        <v>14</v>
      </c>
      <c r="D39" s="10"/>
      <c r="E39" s="10"/>
      <c r="F39" s="10"/>
      <c r="G39" s="10"/>
      <c r="H39" s="8"/>
      <c r="I39" s="5"/>
      <c r="J39" s="5"/>
    </row>
    <row r="40" spans="1:10" s="5" customFormat="1" ht="25.5" customHeight="1">
      <c r="A40" s="19" t="s">
        <v>22</v>
      </c>
      <c r="B40" s="10">
        <v>1</v>
      </c>
      <c r="C40" s="12" t="s">
        <v>20</v>
      </c>
      <c r="D40" s="10"/>
      <c r="E40" s="10"/>
      <c r="F40" s="10"/>
      <c r="G40" s="10"/>
      <c r="H40" s="8"/>
    </row>
    <row r="42" spans="1:10" s="6" customFormat="1" ht="42.75" customHeight="1">
      <c r="A42" s="259" t="s">
        <v>148</v>
      </c>
      <c r="B42" s="13"/>
      <c r="C42" s="29" t="s">
        <v>234</v>
      </c>
      <c r="D42" s="10"/>
      <c r="E42" s="10"/>
      <c r="F42" s="10"/>
      <c r="G42" s="10"/>
      <c r="H42" s="8"/>
      <c r="I42" s="5"/>
      <c r="J42" s="5"/>
    </row>
    <row r="43" spans="1:10" s="6" customFormat="1" ht="39" customHeight="1">
      <c r="A43" s="259"/>
      <c r="B43" s="13"/>
      <c r="C43" s="60" t="s">
        <v>149</v>
      </c>
      <c r="D43" s="10"/>
      <c r="E43" s="10"/>
      <c r="F43" s="10"/>
      <c r="G43" s="10"/>
      <c r="H43" s="8"/>
      <c r="I43" s="5"/>
      <c r="J43" s="5"/>
    </row>
    <row r="44" spans="1:10" s="6" customFormat="1" ht="105" customHeight="1">
      <c r="A44" s="259"/>
      <c r="B44" s="13"/>
      <c r="C44" s="12" t="s">
        <v>150</v>
      </c>
      <c r="D44" s="10"/>
      <c r="E44" s="10"/>
      <c r="F44" s="10"/>
      <c r="G44" s="10"/>
      <c r="H44" s="8"/>
      <c r="I44" s="5"/>
      <c r="J44" s="5"/>
    </row>
    <row r="45" spans="1:10" s="5" customFormat="1" ht="28.5" customHeight="1">
      <c r="A45" s="28" t="s">
        <v>151</v>
      </c>
      <c r="B45" s="13"/>
      <c r="C45" s="12" t="s">
        <v>152</v>
      </c>
      <c r="D45" s="10"/>
      <c r="E45" s="10"/>
      <c r="F45" s="10"/>
      <c r="G45" s="10"/>
      <c r="H45" s="8"/>
    </row>
    <row r="46" spans="1:10" s="5" customFormat="1" ht="27.75" customHeight="1">
      <c r="A46" s="28" t="s">
        <v>153</v>
      </c>
      <c r="B46" s="13"/>
      <c r="C46" s="12" t="s">
        <v>154</v>
      </c>
      <c r="D46" s="10"/>
      <c r="E46" s="10"/>
      <c r="F46" s="10"/>
      <c r="G46" s="10"/>
      <c r="H46" s="8"/>
    </row>
    <row r="48" spans="1:10" ht="22.5" customHeight="1">
      <c r="A48" s="199" t="s">
        <v>155</v>
      </c>
      <c r="B48" s="20">
        <v>1</v>
      </c>
      <c r="C48" s="59" t="s">
        <v>156</v>
      </c>
      <c r="D48" s="10"/>
      <c r="E48" s="10"/>
      <c r="F48" s="10"/>
      <c r="G48" s="10"/>
      <c r="H48" s="15"/>
    </row>
    <row r="49" spans="1:13" ht="29.25" customHeight="1">
      <c r="A49" s="200"/>
      <c r="B49" s="20">
        <v>2</v>
      </c>
      <c r="C49" s="21" t="s">
        <v>157</v>
      </c>
      <c r="D49" s="10"/>
      <c r="E49" s="10"/>
      <c r="F49" s="10"/>
      <c r="G49" s="10"/>
      <c r="H49" s="15"/>
      <c r="K49" s="2"/>
    </row>
    <row r="50" spans="1:13" ht="27" customHeight="1">
      <c r="A50" s="199" t="s">
        <v>21</v>
      </c>
      <c r="B50" s="20">
        <v>1</v>
      </c>
      <c r="C50" s="21" t="s">
        <v>18</v>
      </c>
      <c r="D50" s="10"/>
      <c r="E50" s="10"/>
      <c r="F50" s="10"/>
      <c r="G50" s="10"/>
      <c r="H50" s="17"/>
    </row>
    <row r="51" spans="1:13" ht="42" customHeight="1">
      <c r="A51" s="200"/>
      <c r="B51" s="20">
        <v>2</v>
      </c>
      <c r="C51" s="21" t="s">
        <v>17</v>
      </c>
      <c r="D51" s="10"/>
      <c r="E51" s="10"/>
      <c r="F51" s="10"/>
      <c r="G51" s="10"/>
    </row>
    <row r="52" spans="1:13" ht="75" customHeight="1">
      <c r="A52" s="200"/>
      <c r="B52" s="20">
        <v>3</v>
      </c>
      <c r="C52" s="21" t="s">
        <v>40</v>
      </c>
      <c r="D52" s="10"/>
      <c r="E52" s="10"/>
      <c r="F52" s="10"/>
      <c r="G52" s="10"/>
    </row>
    <row r="53" spans="1:13" ht="27.75" customHeight="1">
      <c r="A53" s="200"/>
      <c r="B53" s="20">
        <v>4</v>
      </c>
      <c r="C53" s="21" t="s">
        <v>41</v>
      </c>
      <c r="D53" s="10"/>
      <c r="E53" s="10"/>
      <c r="F53" s="10"/>
      <c r="G53" s="10"/>
      <c r="K53" s="2"/>
      <c r="L53" s="2"/>
      <c r="M53" s="2"/>
    </row>
    <row r="54" spans="1:13" ht="27" customHeight="1">
      <c r="A54" s="199" t="s">
        <v>158</v>
      </c>
      <c r="B54" s="20">
        <v>1</v>
      </c>
      <c r="C54" s="30" t="s">
        <v>159</v>
      </c>
      <c r="D54" s="10"/>
      <c r="E54" s="10"/>
      <c r="F54" s="10"/>
      <c r="G54" s="10"/>
      <c r="K54" s="2"/>
      <c r="L54" s="2"/>
      <c r="M54" s="2"/>
    </row>
    <row r="55" spans="1:13" ht="27" customHeight="1">
      <c r="A55" s="200"/>
      <c r="B55" s="20">
        <v>3</v>
      </c>
      <c r="C55" s="30" t="s">
        <v>160</v>
      </c>
      <c r="D55" s="10"/>
      <c r="E55" s="10"/>
      <c r="F55" s="10"/>
      <c r="G55" s="10"/>
    </row>
    <row r="56" spans="1:13" ht="42" customHeight="1">
      <c r="A56" s="31" t="s">
        <v>161</v>
      </c>
      <c r="B56" s="20">
        <v>1</v>
      </c>
      <c r="C56" s="21" t="s">
        <v>162</v>
      </c>
      <c r="D56" s="10"/>
      <c r="E56" s="10"/>
      <c r="F56" s="10"/>
      <c r="G56" s="10"/>
    </row>
  </sheetData>
  <mergeCells count="23">
    <mergeCell ref="A48:A49"/>
    <mergeCell ref="A50:A53"/>
    <mergeCell ref="A54:A55"/>
    <mergeCell ref="E1:G1"/>
    <mergeCell ref="E3:E4"/>
    <mergeCell ref="F3:F4"/>
    <mergeCell ref="G3:G4"/>
    <mergeCell ref="A5:C5"/>
    <mergeCell ref="E5:G5"/>
    <mergeCell ref="A10:A13"/>
    <mergeCell ref="A38:A39"/>
    <mergeCell ref="A35:A36"/>
    <mergeCell ref="A2:C4"/>
    <mergeCell ref="A16:A18"/>
    <mergeCell ref="A32:A33"/>
    <mergeCell ref="A26:A28"/>
    <mergeCell ref="A6:A9"/>
    <mergeCell ref="A42:A44"/>
    <mergeCell ref="A22:A23"/>
    <mergeCell ref="A29:A31"/>
    <mergeCell ref="A24:A25"/>
    <mergeCell ref="A19:A21"/>
    <mergeCell ref="A14:A1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5</vt:i4>
      </vt:variant>
    </vt:vector>
  </HeadingPairs>
  <TitlesOfParts>
    <vt:vector size="10" baseType="lpstr">
      <vt:lpstr>1. Check list (25.01)</vt:lpstr>
      <vt:lpstr>2. 배관 계산</vt:lpstr>
      <vt:lpstr>3. 모델별 장비 사이즈_2</vt:lpstr>
      <vt:lpstr>a</vt:lpstr>
      <vt:lpstr>b</vt:lpstr>
      <vt:lpstr>'1. Check list (25.01)'!Print_Area</vt:lpstr>
      <vt:lpstr>a!Print_Area</vt:lpstr>
      <vt:lpstr>b!Print_Area</vt:lpstr>
      <vt:lpstr>'1. Check list (25.01)'!Print_Titles</vt:lpstr>
      <vt:lpstr>b!Print_Titles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20131023B</dc:creator>
  <cp:lastModifiedBy>김수민</cp:lastModifiedBy>
  <cp:lastPrinted>2025-10-02T00:05:30Z</cp:lastPrinted>
  <dcterms:created xsi:type="dcterms:W3CDTF">2017-01-02T06:03:31Z</dcterms:created>
  <dcterms:modified xsi:type="dcterms:W3CDTF">2025-12-23T02:31:07Z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Fasoo_Trace_ID" pid="2">
    <vt:lpwstr>eyAibm9kZUNvdW50IjogOTEsICJub2RlMSIgOiB7ImRzZCI6IjAxMDAwMDAwMDAwMDIwMTAiLCJsb2dUaW1lIjoiMjAyNS0xMC0wMVQyMzozNTozN1oiLCJwSUQiOjEsInByb2Nlc3NOYW1lIjoiRVhDRUwuRVhFIiwidHJhY2VJZCI6IkU5ODVFMjY1MjJCRTQzMzk4QTA0MUU2RTI0N0M0M0MwIiwidXNlckNvZGUiOiJlamxlZSJ9LCJub2RlMiIgOiB7ImRzZCI6IjAxMDAwMDAwMDAwMDIwMTAiLCJsb2dUaW1lIjoiMjAyNS0xMC0wMlQwMDowNToyMVoiLCJwSUQiOjEsInByb2Nlc3NOYW1lIjoiRVhDRUwuRVhFIiwidHJhY2VJZCI6IkY5ODhFQkE1RDA5MTQyMTdCNDIwMDkxMzNERjY4Rjc5IiwidXNlckNvZGUiOiJlamxlZSJ9LCJub2RlMyIgOiB7ImRzZCI6IjAxMDAwMDAwMDAwMDIwMTAiLCJsb2dUaW1lIjoiMjAyNS0xMS0yNlQwNDo0MTozNFoiLCJwSUQiOjEsInByb2Nlc3NOYW1lIjoiRVhDRUwuRVhFIiwidHJhY2VJZCI6IjQ5OEE3RkU1N0U3MjQ0MTdCMzhFODgzRjE5NEEwNjA4IiwidXNlckNvZGUiOiJuZW91bCJ9LCJub2RlNCIgOiB7ImRzZCI6IjAxMDAwMDAwMDAwMDIwMTAiLCJsb2dUaW1lIjoiMjAyNS0xMi0yM1QwMjozMTowOFoiLCJwSUQiOjEsInByb2Nlc3NJZCI6MjgzOTIsInByb2Nlc3NOYW1lIjoiRVhDRUwuRVhFIiwidHJhY2VJZCI6IjdEQzMxNzdERjYwRTQxMEVBODE1MDIyNjQ0Mzk3RkRBIiwidXNlckNvZGUiOiJuZW91bCJ9LCJub2RlNSIgOiB7ICJ1c2VyQ29kZSIgOiAibmVvdWwiLCAidHJhY2VJZCIgOiAiNkMyNkY5NzBFMjhDRjQ3MjkyQzc3RUYxQzNBNjM3MEIiLCAiZHNkIiA6ICIwMDAwMDAwMDAwMDAwMDAwIiwgInBJRCIgOiAiMjA0OCIsICJsb2dUaW1lIiA6ICIyMDI2LTAxLTA0VDIzOjQ1OjQ2WiIgfX0=</vt:lpwstr>
  </property>
</Properties>
</file>