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01.호선업무\1.신조호선 (미계약 TP)\3.중국\H1993A-H1998A, HYCHLOR 2.0 3000 X 2 SET\"/>
    </mc:Choice>
  </mc:AlternateContent>
  <xr:revisionPtr revIDLastSave="0" documentId="13_ncr:1_{C6783D12-8982-422C-9CA0-74A4D081262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(Ver.24.01)" sheetId="6" r:id="rId1"/>
    <sheet name="(Ver.25.01)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5" l="1"/>
  <c r="F33" i="5"/>
  <c r="F32" i="5"/>
  <c r="F31" i="5"/>
  <c r="F29" i="5"/>
  <c r="F28" i="5"/>
  <c r="F10" i="5" l="1"/>
  <c r="F9" i="5"/>
  <c r="F12" i="5"/>
  <c r="F23" i="6" l="1"/>
  <c r="F22" i="6"/>
  <c r="F21" i="6"/>
  <c r="F20" i="6"/>
  <c r="F18" i="6"/>
  <c r="F17" i="6"/>
  <c r="F16" i="6"/>
  <c r="F15" i="6"/>
  <c r="F14" i="6"/>
  <c r="F13" i="6"/>
  <c r="F12" i="6"/>
  <c r="F10" i="6"/>
  <c r="F9" i="6"/>
  <c r="F8" i="6"/>
  <c r="F7" i="6"/>
  <c r="F6" i="6"/>
  <c r="F18" i="5"/>
  <c r="F16" i="5"/>
  <c r="F15" i="5"/>
  <c r="F14" i="5"/>
  <c r="F11" i="5"/>
</calcChain>
</file>

<file path=xl/sharedStrings.xml><?xml version="1.0" encoding="utf-8"?>
<sst xmlns="http://schemas.openxmlformats.org/spreadsheetml/2006/main" count="259" uniqueCount="110">
  <si>
    <t>TE01V</t>
    <phoneticPr fontId="1" type="noConversion"/>
  </si>
  <si>
    <t>TE02V</t>
  </si>
  <si>
    <t>APT</t>
    <phoneticPr fontId="1" type="noConversion"/>
  </si>
  <si>
    <t>BWT</t>
    <phoneticPr fontId="1" type="noConversion"/>
  </si>
  <si>
    <t>DESCRIPTION</t>
    <phoneticPr fontId="1" type="noConversion"/>
  </si>
  <si>
    <t>BYPASS V/V</t>
  </si>
  <si>
    <t>STRIPPING</t>
  </si>
  <si>
    <t>OV'BD V/V</t>
  </si>
  <si>
    <t>BALLAST P/P</t>
  </si>
  <si>
    <t>BALLAST P/P</t>
    <phoneticPr fontId="1" type="noConversion"/>
  </si>
  <si>
    <t>SIGNAL</t>
    <phoneticPr fontId="1" type="noConversion"/>
  </si>
  <si>
    <t>L/S</t>
    <phoneticPr fontId="1" type="noConversion"/>
  </si>
  <si>
    <t>BWMS ABNORMAL</t>
    <phoneticPr fontId="1" type="noConversion"/>
  </si>
  <si>
    <t>STRIPPING</t>
    <phoneticPr fontId="1" type="noConversion"/>
  </si>
  <si>
    <t>(BWMS:ABNORMAL=SIGNAL:OFF)</t>
    <phoneticPr fontId="1" type="noConversion"/>
  </si>
  <si>
    <t>FAN RUNNING SIGNAL (BWTS ROOM)</t>
    <phoneticPr fontId="1" type="noConversion"/>
  </si>
  <si>
    <t>GAS DETECTING IN INTER-BARRIER SPACE</t>
    <phoneticPr fontId="1" type="noConversion"/>
  </si>
  <si>
    <t>(FAN:RUNNING = SIGNAL:ON)</t>
    <phoneticPr fontId="1" type="noConversion"/>
  </si>
  <si>
    <t>(GAS:DETECTION = SIGNAL:ON)</t>
    <phoneticPr fontId="1" type="noConversion"/>
  </si>
  <si>
    <t>(GRAVITY:ON = SIGNAL:ON)</t>
    <phoneticPr fontId="1" type="noConversion"/>
  </si>
  <si>
    <t>GRAVITY BALLAST MODE</t>
    <phoneticPr fontId="1" type="noConversion"/>
  </si>
  <si>
    <t>순번</t>
    <phoneticPr fontId="1" type="noConversion"/>
  </si>
  <si>
    <t xml:space="preserve">PUMP SIGNAL </t>
    <phoneticPr fontId="1" type="noConversion"/>
  </si>
  <si>
    <t>(BWMS:ALARM = SINGAL:OFF)</t>
    <phoneticPr fontId="1" type="noConversion"/>
  </si>
  <si>
    <t>(PUMP:RUN=SIGNAL:ON)</t>
    <phoneticPr fontId="1" type="noConversion"/>
  </si>
  <si>
    <t>(V/V:LITTLE OPEN=SIGNAL:ON)</t>
    <phoneticPr fontId="1" type="noConversion"/>
  </si>
  <si>
    <t>Required valve (조건 밸브)</t>
    <phoneticPr fontId="1" type="noConversion"/>
  </si>
  <si>
    <t>공통 ABNORMAL</t>
    <phoneticPr fontId="1" type="noConversion"/>
  </si>
  <si>
    <t>Oil carrier 인 경우</t>
    <phoneticPr fontId="1" type="noConversion"/>
  </si>
  <si>
    <t>LNG/LPG 인 경우</t>
    <phoneticPr fontId="1" type="noConversion"/>
  </si>
  <si>
    <t>BWMS SHUTDOWN(TRIP) SIGNAL</t>
    <phoneticPr fontId="1" type="noConversion"/>
  </si>
  <si>
    <t>ABNORMAL or INTERLOCK SIGNAL (본선에 맞춰 기입 할 것)</t>
    <phoneticPr fontId="1" type="noConversion"/>
  </si>
  <si>
    <t>GRAVITY</t>
    <phoneticPr fontId="1" type="noConversion"/>
  </si>
  <si>
    <t>EDUCTOR</t>
    <phoneticPr fontId="1" type="noConversion"/>
  </si>
  <si>
    <t>내용 없음</t>
    <phoneticPr fontId="1" type="noConversion"/>
  </si>
  <si>
    <t>선급 기입</t>
    <phoneticPr fontId="1" type="noConversion"/>
  </si>
  <si>
    <t xml:space="preserve">조선소, 엔지니어링사에 FAILE CLOSED VALVE가 BWMS TRIP시 자동 CLOSE 되도록 요청 할 것 </t>
    <phoneticPr fontId="1" type="noConversion"/>
  </si>
  <si>
    <t>HMI 알람 셋팅 항목</t>
    <phoneticPr fontId="1" type="noConversion"/>
  </si>
  <si>
    <t>밸브 타입</t>
    <phoneticPr fontId="1" type="noConversion"/>
  </si>
  <si>
    <t>Alarm By-pass valve (알람 밸브)</t>
    <phoneticPr fontId="1" type="noConversion"/>
  </si>
  <si>
    <t>← 호선에 해당되지 않는 부분 "없음" 이라 표현하면 됩니다.</t>
    <phoneticPr fontId="1" type="noConversion"/>
  </si>
  <si>
    <t>공통 FAN INTERLOCK</t>
    <phoneticPr fontId="1" type="noConversion"/>
  </si>
  <si>
    <t xml:space="preserve">안전→위험구역으로 PIPE LINE 구성 시 </t>
    <phoneticPr fontId="1" type="noConversion"/>
  </si>
  <si>
    <t>BALLAST TANK INLET V/V</t>
    <phoneticPr fontId="1" type="noConversion"/>
  </si>
  <si>
    <t>TE03V</t>
    <phoneticPr fontId="1" type="noConversion"/>
  </si>
  <si>
    <t>TE04V</t>
    <phoneticPr fontId="1" type="noConversion"/>
  </si>
  <si>
    <t>RT : 2022.07.01 이후 선급승이 신청하는경우
NB : 조선소와 선주의 계약일이 2022.07.01 이후</t>
    <phoneticPr fontId="1" type="noConversion"/>
  </si>
  <si>
    <t>(F.F.E.S.:OPERATION = SIGNAL:ON)</t>
    <phoneticPr fontId="1" type="noConversion"/>
  </si>
  <si>
    <t xml:space="preserve">BWMS Valve Singal (HYCHLOR 2.0) </t>
    <phoneticPr fontId="1" type="noConversion"/>
  </si>
  <si>
    <t xml:space="preserve">날짜 기입 </t>
    <phoneticPr fontId="1" type="noConversion"/>
  </si>
  <si>
    <t>DE-BALLASTING</t>
    <phoneticPr fontId="1" type="noConversion"/>
  </si>
  <si>
    <t>공통 IF UR F45</t>
    <phoneticPr fontId="1" type="noConversion"/>
  </si>
  <si>
    <t>TE05V</t>
    <phoneticPr fontId="1" type="noConversion"/>
  </si>
  <si>
    <t>TE06V</t>
    <phoneticPr fontId="1" type="noConversion"/>
  </si>
  <si>
    <t>메인배관 유량 알람/셧다운 기준은 발라스트 펌프용량</t>
    <phoneticPr fontId="1" type="noConversion"/>
  </si>
  <si>
    <t xml:space="preserve">← VRCS : REMOTE V/V(YARD SUPPLY), REMOTE : REMOTE V/V(TECHCROSS SUPPLY) </t>
    <phoneticPr fontId="1" type="noConversion"/>
  </si>
  <si>
    <t>(Ver.24.01)</t>
    <phoneticPr fontId="1" type="noConversion"/>
  </si>
  <si>
    <t>** BALLASTING 유량은 ECU CAPACITY와 동일하게 적용됩니다.</t>
    <phoneticPr fontId="1" type="noConversion"/>
  </si>
  <si>
    <t xml:space="preserve">헐넘버 또는 선명 </t>
    <phoneticPr fontId="1" type="noConversion"/>
  </si>
  <si>
    <t>2000m3/h x 2</t>
    <phoneticPr fontId="1" type="noConversion"/>
  </si>
  <si>
    <t>없음</t>
    <phoneticPr fontId="1" type="noConversion"/>
  </si>
  <si>
    <t>2300m3/h x 2</t>
    <phoneticPr fontId="1" type="noConversion"/>
  </si>
  <si>
    <t>200m3/h x 1</t>
    <phoneticPr fontId="1" type="noConversion"/>
  </si>
  <si>
    <t xml:space="preserve">↓ 호선에 해당되지 않는 부분 행 삭제 할 것 </t>
    <phoneticPr fontId="1" type="noConversion"/>
  </si>
  <si>
    <t>REMOTE</t>
    <phoneticPr fontId="1" type="noConversion"/>
  </si>
  <si>
    <t xml:space="preserve">VRCS : REMOTE V/V(YARD SUPPLY)
REMOTE : REMOTE V/V(TECHCROSS SUPPLY) </t>
    <phoneticPr fontId="1" type="noConversion"/>
  </si>
  <si>
    <t>TEXXV</t>
    <phoneticPr fontId="1" type="noConversion"/>
  </si>
  <si>
    <t>MIXING V/V</t>
    <phoneticPr fontId="1" type="noConversion"/>
  </si>
  <si>
    <t>(V/V:FULL OPEN=SIGNAL:ON)</t>
    <phoneticPr fontId="1" type="noConversion"/>
  </si>
  <si>
    <t>Valve type</t>
    <phoneticPr fontId="1" type="noConversion"/>
  </si>
  <si>
    <t>BW01</t>
    <phoneticPr fontId="1" type="noConversion"/>
  </si>
  <si>
    <t>VRCS</t>
    <phoneticPr fontId="1" type="noConversion"/>
  </si>
  <si>
    <t>BW02</t>
    <phoneticPr fontId="1" type="noConversion"/>
  </si>
  <si>
    <t>BW03</t>
    <phoneticPr fontId="1" type="noConversion"/>
  </si>
  <si>
    <t>BW04</t>
  </si>
  <si>
    <t>BW05</t>
  </si>
  <si>
    <t>BW06</t>
  </si>
  <si>
    <t>BW07</t>
  </si>
  <si>
    <t>FIRE &amp; G/S P/P</t>
    <phoneticPr fontId="1" type="noConversion"/>
  </si>
  <si>
    <t>FIRE &amp; BILGE P/P</t>
    <phoneticPr fontId="1" type="noConversion"/>
  </si>
  <si>
    <t xml:space="preserve">if Gravity ballasting </t>
    <phoneticPr fontId="1" type="noConversion"/>
  </si>
  <si>
    <r>
      <t xml:space="preserve">모든 OPERATION MODE(BALLASTING/DE-BALALSTING/STRIPPING 등)에서 
INTERLOCK 구성할 것&gt;&gt;&gt; 소프트웨어팀
</t>
    </r>
    <r>
      <rPr>
        <sz val="10"/>
        <color rgb="FFFF0000"/>
        <rFont val="맑은 고딕"/>
        <family val="3"/>
        <charset val="129"/>
        <scheme val="minor"/>
      </rPr>
      <t xml:space="preserve">* 하이클로 경우, HGU 설치 위치 &amp; HGU Injection line 설치 위치로부터 각각 FAN INTERLOCK 구성해야 합니다. </t>
    </r>
    <phoneticPr fontId="1" type="noConversion"/>
  </si>
  <si>
    <t xml:space="preserve">FIXED FIRE EXTINGUISHING SYSTEM SIGNAL (BWTS ROOM)  </t>
    <phoneticPr fontId="1" type="noConversion"/>
  </si>
  <si>
    <t>If ABS</t>
    <phoneticPr fontId="1" type="noConversion"/>
  </si>
  <si>
    <t>HYDROCARBON GAS DETECTING (10% LFL) IN WBT 
&amp; IN COMPARTMENT WHERE ECU IS LOCATED</t>
    <phoneticPr fontId="1" type="noConversion"/>
  </si>
  <si>
    <t>1) IN COMPARTMENT WHERE ECU IS LOCATED는 PUMP ROOM / ONDECK ROOM을 의미함
2) 조선소, 엔지니어링사에 WBT와 PUMP ROOM / ONDECK ROOM 중 어디라도 GAS DETECTING 되면 시그널 주도록 요청 할 것 
3) RETROFIT ONDECK ROOM 인경우 GAS DETCTION SYSTEM 신설 필요하므로 선주측 안내필요</t>
    <phoneticPr fontId="1" type="noConversion"/>
  </si>
  <si>
    <t xml:space="preserve">가장 많이 받는 코멘트 </t>
    <phoneticPr fontId="1" type="noConversion"/>
  </si>
  <si>
    <t>BWMS POWER FAIL</t>
    <phoneticPr fontId="1" type="noConversion"/>
  </si>
  <si>
    <r>
      <t>FIXED FIRE EXTINGUISHING SYSTEM SIGNAL</t>
    </r>
    <r>
      <rPr>
        <sz val="10"/>
        <color rgb="FF0033CC"/>
        <rFont val="맑은 고딕"/>
        <family val="3"/>
        <charset val="129"/>
        <scheme val="minor"/>
      </rPr>
      <t xml:space="preserve"> (ENGINE ROOM)</t>
    </r>
    <phoneticPr fontId="1" type="noConversion"/>
  </si>
  <si>
    <r>
      <t xml:space="preserve">FAN RUNNING SIGNAL </t>
    </r>
    <r>
      <rPr>
        <sz val="10"/>
        <color rgb="FF0033CC"/>
        <rFont val="맑은 고딕"/>
        <family val="3"/>
        <charset val="129"/>
        <scheme val="minor"/>
      </rPr>
      <t>(ENGINE ROOM)</t>
    </r>
    <phoneticPr fontId="1" type="noConversion"/>
  </si>
  <si>
    <t>Tanker선에서 HGU가 설치된 안전구역 Room 내 Fan interlock 필요.
HGU injection line 연결된 위험구역 Room 내 Fan interlock 불필요.</t>
    <phoneticPr fontId="1" type="noConversion"/>
  </si>
  <si>
    <t xml:space="preserve">1. [S/C쪽 밸브] + [PUMP전 TANK로 가는 밸브]
(예시) TE01V &amp; TE02V     /      TE03V &amp; TE04V 
2. [TANK서 바로 OVBD 가는 밸브] + [OVBD 밸브]
3. [Mixing inlet valve] + [Mixing Bpass valve]
4. [모든 오퍼레이션에서 닫여야 하는 밸브] 
*밸브 3개 이상 잡아야 할 경우는 소프트웨어팀과 협의 할 것 </t>
    <phoneticPr fontId="1" type="noConversion"/>
  </si>
  <si>
    <t>(Ver.25.01)</t>
    <phoneticPr fontId="1" type="noConversion"/>
  </si>
  <si>
    <t>FEEDER PUMP INLET V/V</t>
    <phoneticPr fontId="1" type="noConversion"/>
  </si>
  <si>
    <t>FEEDER PUMP INLET V/V (FOR LOW SALINITY)</t>
    <phoneticPr fontId="1" type="noConversion"/>
  </si>
  <si>
    <t xml:space="preserve">OV'BD V/V </t>
    <phoneticPr fontId="1" type="noConversion"/>
  </si>
  <si>
    <t>2025.11.27.</t>
    <phoneticPr fontId="1" type="noConversion"/>
  </si>
  <si>
    <t>H199A/4A/5A/6A/7A/8A</t>
    <phoneticPr fontId="1" type="noConversion"/>
  </si>
  <si>
    <t>LR</t>
    <phoneticPr fontId="1" type="noConversion"/>
  </si>
  <si>
    <t>TE07V</t>
    <phoneticPr fontId="1" type="noConversion"/>
  </si>
  <si>
    <t>TE08V</t>
    <phoneticPr fontId="1" type="noConversion"/>
  </si>
  <si>
    <t>TE09V</t>
    <phoneticPr fontId="1" type="noConversion"/>
  </si>
  <si>
    <t>TE10V</t>
    <phoneticPr fontId="1" type="noConversion"/>
  </si>
  <si>
    <t>*추후 작성</t>
    <phoneticPr fontId="1" type="noConversion"/>
  </si>
  <si>
    <t>TE11V</t>
    <phoneticPr fontId="1" type="noConversion"/>
  </si>
  <si>
    <t>TE12V</t>
    <phoneticPr fontId="1" type="noConversion"/>
  </si>
  <si>
    <t>STBD</t>
    <phoneticPr fontId="1" type="noConversion"/>
  </si>
  <si>
    <t>2800m3/h x 1</t>
    <phoneticPr fontId="1" type="noConversion"/>
  </si>
  <si>
    <t>350m3/h x 1</t>
    <phoneticPr fontId="1" type="noConversion"/>
  </si>
  <si>
    <t>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</si>
</sst>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10"/>
      <color theme="4" tint="-0.249977111117893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33CC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vertical="top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6" fillId="0" borderId="0" xfId="0" applyFont="1">
      <alignment vertical="center"/>
    </xf>
    <xf numFmtId="0" fontId="6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indent="1"/>
    </xf>
    <xf numFmtId="0" fontId="7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indent="1"/>
    </xf>
    <xf numFmtId="0" fontId="3" fillId="5" borderId="5" xfId="0" applyFont="1" applyFill="1" applyBorder="1" applyAlignment="1">
      <alignment horizontal="left" vertical="center" indent="1"/>
    </xf>
    <xf numFmtId="0" fontId="6" fillId="2" borderId="0" xfId="0" applyFont="1" applyFill="1">
      <alignment vertical="center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>
      <alignment vertical="center"/>
    </xf>
    <xf numFmtId="0" fontId="6" fillId="0" borderId="0" xfId="0" applyFont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righ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>
      <alignment horizontal="center" vertical="center" wrapText="1"/>
    </xf>
    <xf numFmtId="14" fontId="8" fillId="2" borderId="5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top" wrapText="1"/>
    </xf>
    <xf numFmtId="0" fontId="5" fillId="6" borderId="9" xfId="0" applyFont="1" applyFill="1" applyBorder="1" applyAlignment="1">
      <alignment horizontal="left" vertical="top" wrapText="1"/>
    </xf>
    <xf numFmtId="0" fontId="5" fillId="6" borderId="10" xfId="0" applyFont="1" applyFill="1" applyBorder="1" applyAlignment="1">
      <alignment horizontal="left" vertical="top" wrapText="1"/>
    </xf>
    <xf numFmtId="0" fontId="5" fillId="6" borderId="6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5" fillId="6" borderId="8" xfId="0" applyFont="1" applyFill="1" applyBorder="1" applyAlignment="1">
      <alignment horizontal="left" vertical="top" wrapText="1"/>
    </xf>
    <xf numFmtId="14" fontId="4" fillId="2" borderId="4" xfId="0" applyNumberFormat="1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>
      <alignment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3">
    <dxf>
      <font>
        <b/>
        <i val="0"/>
        <color rgb="FF0033CC"/>
      </font>
      <fill>
        <patternFill>
          <bgColor theme="0"/>
        </patternFill>
      </fill>
    </dxf>
    <dxf>
      <font>
        <b/>
        <i val="0"/>
        <color rgb="FF0033CC"/>
      </font>
      <fill>
        <patternFill>
          <bgColor theme="0"/>
        </patternFill>
      </fill>
    </dxf>
    <dxf>
      <font>
        <b/>
        <i val="0"/>
        <color rgb="FF0033CC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33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D98F-BC97-4B9E-8595-EEC0CFA78847}">
  <dimension ref="B1:N33"/>
  <sheetViews>
    <sheetView workbookViewId="0">
      <selection activeCell="F8" sqref="F8"/>
    </sheetView>
  </sheetViews>
  <sheetFormatPr defaultColWidth="9" defaultRowHeight="13.5" x14ac:dyDescent="0.3"/>
  <cols>
    <col min="1" max="1" width="1.625" style="3" customWidth="1"/>
    <col min="2" max="2" width="11.75" style="4" customWidth="1"/>
    <col min="3" max="3" width="9.125" style="4" hidden="1" customWidth="1"/>
    <col min="4" max="4" width="36.25" style="4" customWidth="1"/>
    <col min="5" max="5" width="4.75" style="4" bestFit="1" customWidth="1"/>
    <col min="6" max="6" width="54" style="4" bestFit="1" customWidth="1"/>
    <col min="7" max="7" width="31.5" style="4" bestFit="1" customWidth="1"/>
    <col min="8" max="8" width="9.75" style="4" bestFit="1" customWidth="1"/>
    <col min="9" max="9" width="11.875" style="4" bestFit="1" customWidth="1"/>
    <col min="10" max="10" width="4.75" style="4" bestFit="1" customWidth="1"/>
    <col min="11" max="11" width="11.875" style="4" bestFit="1" customWidth="1"/>
    <col min="12" max="12" width="11" style="4" bestFit="1" customWidth="1"/>
    <col min="13" max="13" width="52.125" style="14" bestFit="1" customWidth="1"/>
    <col min="14" max="14" width="32.125" style="3" bestFit="1" customWidth="1"/>
    <col min="15" max="15" width="17.625" style="3" bestFit="1" customWidth="1"/>
    <col min="16" max="16" width="12.875" style="3" bestFit="1" customWidth="1"/>
    <col min="17" max="17" width="27.125" style="3" bestFit="1" customWidth="1"/>
    <col min="18" max="18" width="46" style="3" bestFit="1" customWidth="1"/>
    <col min="19" max="19" width="8" style="3" bestFit="1" customWidth="1"/>
    <col min="20" max="16384" width="9" style="3"/>
  </cols>
  <sheetData>
    <row r="1" spans="2:14" s="1" customFormat="1" ht="16.5" customHeight="1" x14ac:dyDescent="0.3">
      <c r="B1" s="22"/>
      <c r="C1" s="22"/>
      <c r="D1" s="22"/>
      <c r="E1" s="22"/>
      <c r="F1" s="22"/>
      <c r="G1" s="63" t="s">
        <v>56</v>
      </c>
      <c r="H1" s="63"/>
      <c r="I1" s="2"/>
      <c r="J1" s="2"/>
      <c r="K1" s="2"/>
      <c r="L1" s="2"/>
      <c r="M1" s="14"/>
    </row>
    <row r="2" spans="2:14" ht="28.5" customHeight="1" x14ac:dyDescent="0.3">
      <c r="B2" s="64" t="s">
        <v>48</v>
      </c>
      <c r="C2" s="65"/>
      <c r="D2" s="65"/>
      <c r="E2" s="65"/>
      <c r="F2" s="66"/>
      <c r="G2" s="73" t="s">
        <v>49</v>
      </c>
      <c r="H2" s="74"/>
      <c r="I2" s="75" t="s">
        <v>50</v>
      </c>
      <c r="J2" s="76"/>
      <c r="K2" s="77"/>
      <c r="L2" s="30" t="s">
        <v>13</v>
      </c>
      <c r="M2" s="14" t="s">
        <v>57</v>
      </c>
    </row>
    <row r="3" spans="2:14" ht="28.5" customHeight="1" x14ac:dyDescent="0.3">
      <c r="B3" s="67"/>
      <c r="C3" s="68"/>
      <c r="D3" s="68"/>
      <c r="E3" s="68"/>
      <c r="F3" s="69"/>
      <c r="G3" s="78" t="s">
        <v>58</v>
      </c>
      <c r="H3" s="79"/>
      <c r="I3" s="23" t="s">
        <v>3</v>
      </c>
      <c r="J3" s="23" t="s">
        <v>2</v>
      </c>
      <c r="K3" s="23" t="s">
        <v>32</v>
      </c>
      <c r="L3" s="23" t="s">
        <v>33</v>
      </c>
    </row>
    <row r="4" spans="2:14" ht="28.5" customHeight="1" x14ac:dyDescent="0.3">
      <c r="B4" s="70"/>
      <c r="C4" s="71"/>
      <c r="D4" s="71"/>
      <c r="E4" s="71"/>
      <c r="F4" s="72"/>
      <c r="G4" s="78" t="s">
        <v>35</v>
      </c>
      <c r="H4" s="79"/>
      <c r="I4" s="6" t="s">
        <v>59</v>
      </c>
      <c r="J4" s="6" t="s">
        <v>60</v>
      </c>
      <c r="K4" s="6" t="s">
        <v>61</v>
      </c>
      <c r="L4" s="6" t="s">
        <v>62</v>
      </c>
      <c r="M4" s="14" t="s">
        <v>40</v>
      </c>
      <c r="N4" s="10"/>
    </row>
    <row r="5" spans="2:14" ht="18.75" customHeight="1" x14ac:dyDescent="0.3">
      <c r="B5" s="54" t="s">
        <v>26</v>
      </c>
      <c r="C5" s="57"/>
      <c r="D5" s="57"/>
      <c r="E5" s="17" t="s">
        <v>21</v>
      </c>
      <c r="F5" s="24" t="s">
        <v>4</v>
      </c>
      <c r="G5" s="25" t="s">
        <v>10</v>
      </c>
      <c r="H5" s="7" t="s">
        <v>38</v>
      </c>
      <c r="I5" s="50" t="s">
        <v>34</v>
      </c>
      <c r="J5" s="51"/>
      <c r="K5" s="51"/>
      <c r="L5" s="52"/>
      <c r="M5" s="15" t="s">
        <v>63</v>
      </c>
      <c r="N5" s="10"/>
    </row>
    <row r="6" spans="2:14" ht="18.75" customHeight="1" x14ac:dyDescent="0.3">
      <c r="B6" s="5" t="s">
        <v>0</v>
      </c>
      <c r="C6" s="6"/>
      <c r="D6" s="11" t="s">
        <v>43</v>
      </c>
      <c r="E6" s="6">
        <v>1</v>
      </c>
      <c r="F6" s="18" t="str">
        <f>IF(OR(B6="",D6=""),"",IF(C6="APT","(APT)",IF(C6="BWT","(BWT)",IF(C6="APT/BWT","(APT/BWT)","")))&amp;" "&amp;IF(OR(E6=0),"",IF(OR(0&lt;E6,E6&lt;=15),"NO."&amp;E6))&amp;" "&amp;D6&amp;IF(OR(B6="",D6=""),"",))</f>
        <v xml:space="preserve"> NO.1 BALLAST TANK INLET V/V</v>
      </c>
      <c r="G6" s="21" t="s">
        <v>25</v>
      </c>
      <c r="H6" s="16" t="s">
        <v>64</v>
      </c>
      <c r="I6" s="58" t="s">
        <v>65</v>
      </c>
      <c r="J6" s="58"/>
      <c r="K6" s="58"/>
      <c r="L6" s="58"/>
      <c r="M6" s="15"/>
      <c r="N6" s="10"/>
    </row>
    <row r="7" spans="2:14" ht="18.75" customHeight="1" x14ac:dyDescent="0.3">
      <c r="B7" s="5" t="s">
        <v>1</v>
      </c>
      <c r="C7" s="6"/>
      <c r="D7" s="11" t="s">
        <v>43</v>
      </c>
      <c r="E7" s="6">
        <v>2</v>
      </c>
      <c r="F7" s="18" t="str">
        <f>IF(OR(B7="",D7=""),"",IF(C7="APT","(APT)",IF(C7="BWT","(BWT)",IF(C7="APT/BWT","(APT/BWT)","")))&amp;" "&amp;IF(OR(E7=0),"",IF(OR(0&lt;E7,E7&lt;=15),"NO."&amp;E7))&amp;" "&amp;D7&amp;IF(OR(B7="",D7=""),"",))</f>
        <v xml:space="preserve"> NO.2 BALLAST TANK INLET V/V</v>
      </c>
      <c r="G7" s="21" t="s">
        <v>25</v>
      </c>
      <c r="H7" s="16" t="s">
        <v>64</v>
      </c>
      <c r="I7" s="58"/>
      <c r="J7" s="58"/>
      <c r="K7" s="58"/>
      <c r="L7" s="58"/>
      <c r="M7" s="15"/>
      <c r="N7" s="10"/>
    </row>
    <row r="8" spans="2:14" ht="18.75" customHeight="1" x14ac:dyDescent="0.3">
      <c r="B8" s="5" t="s">
        <v>44</v>
      </c>
      <c r="C8" s="6"/>
      <c r="D8" s="11" t="s">
        <v>7</v>
      </c>
      <c r="E8" s="6">
        <v>0</v>
      </c>
      <c r="F8" s="18" t="str">
        <f>IF(OR(B8="",D8=""),"",IF(C8="APT","(APT)",IF(C8="BWT","(BWT)",IF(C8="APT/BWT","(APT/BWT)","")))&amp;" "&amp;IF(OR(E8=0),"",IF(OR(0&lt;E8,E8&lt;=15),"NO."&amp;E8))&amp;" "&amp;D8&amp;IF(OR(B8="",D8=""),"",))</f>
        <v xml:space="preserve">  OV'BD V/V</v>
      </c>
      <c r="G8" s="21" t="s">
        <v>25</v>
      </c>
      <c r="H8" s="16" t="s">
        <v>11</v>
      </c>
      <c r="I8" s="58"/>
      <c r="J8" s="58"/>
      <c r="K8" s="58"/>
      <c r="L8" s="58"/>
      <c r="M8" s="15"/>
      <c r="N8" s="10"/>
    </row>
    <row r="9" spans="2:14" ht="18.75" customHeight="1" x14ac:dyDescent="0.3">
      <c r="B9" s="5" t="s">
        <v>45</v>
      </c>
      <c r="C9" s="6"/>
      <c r="D9" s="11" t="s">
        <v>6</v>
      </c>
      <c r="E9" s="6">
        <v>0</v>
      </c>
      <c r="F9" s="18" t="str">
        <f>IF(OR(B9="",D9=""),"",IF(C9="APT","(APT)",IF(C9="BWT","(BWT)",IF(C9="APT/BWT","(APT/BWT)","")))&amp;" "&amp;IF(OR(E9=0),"",IF(OR(0&lt;E9,E9&lt;=15),"NO."&amp;E9))&amp;" "&amp;D9&amp;IF(OR(B9="",D9=""),"",))</f>
        <v xml:space="preserve">  STRIPPING</v>
      </c>
      <c r="G9" s="21" t="s">
        <v>25</v>
      </c>
      <c r="H9" s="16" t="s">
        <v>11</v>
      </c>
      <c r="I9" s="58"/>
      <c r="J9" s="58"/>
      <c r="K9" s="58"/>
      <c r="L9" s="58"/>
      <c r="M9" s="15"/>
      <c r="N9" s="10"/>
    </row>
    <row r="10" spans="2:14" ht="18.75" customHeight="1" x14ac:dyDescent="0.3">
      <c r="B10" s="5" t="s">
        <v>66</v>
      </c>
      <c r="C10" s="6"/>
      <c r="D10" s="11" t="s">
        <v>67</v>
      </c>
      <c r="E10" s="6">
        <v>0</v>
      </c>
      <c r="F10" s="18" t="str">
        <f>IF(OR(B10="",D10=""),"",IF(C10="APT","(APT)",IF(C10="BWT","(BWT)",IF(C10="APT/BWT","(APT/BWT)","")))&amp;" "&amp;IF(OR(E10=0),"",IF(OR(0&lt;E10,E10&lt;=15),"NO."&amp;E10))&amp;" "&amp;D10&amp;IF(OR(B10="",D10=""),"",""))</f>
        <v xml:space="preserve">  MIXING V/V</v>
      </c>
      <c r="G10" s="31" t="s">
        <v>68</v>
      </c>
      <c r="H10" s="16" t="s">
        <v>11</v>
      </c>
      <c r="I10" s="58"/>
      <c r="J10" s="58"/>
      <c r="K10" s="58"/>
      <c r="L10" s="58"/>
      <c r="M10" s="15"/>
      <c r="N10" s="10"/>
    </row>
    <row r="11" spans="2:14" ht="18.75" customHeight="1" x14ac:dyDescent="0.3">
      <c r="B11" s="54" t="s">
        <v>39</v>
      </c>
      <c r="C11" s="57"/>
      <c r="D11" s="57"/>
      <c r="E11" s="17" t="s">
        <v>21</v>
      </c>
      <c r="F11" s="24" t="s">
        <v>4</v>
      </c>
      <c r="G11" s="25" t="s">
        <v>10</v>
      </c>
      <c r="H11" s="7" t="s">
        <v>69</v>
      </c>
      <c r="I11" s="59" t="s">
        <v>37</v>
      </c>
      <c r="J11" s="60"/>
      <c r="K11" s="60"/>
      <c r="L11" s="61"/>
      <c r="M11" s="15"/>
      <c r="N11" s="10"/>
    </row>
    <row r="12" spans="2:14" ht="18.75" customHeight="1" x14ac:dyDescent="0.3">
      <c r="B12" s="5" t="s">
        <v>70</v>
      </c>
      <c r="C12" s="6"/>
      <c r="D12" s="12" t="s">
        <v>5</v>
      </c>
      <c r="E12" s="6">
        <v>1</v>
      </c>
      <c r="F12" s="18" t="str">
        <f t="shared" ref="F12:F18" si="0">IF(OR(B12="",D12=""),"",IF(C12="APT","(APT)",IF(C12="BWT","(BWT)",IF(C12="APT/BWT","(APT/BWT)","")))&amp;" "&amp;IF(OR(E12=0),"",IF(OR(0&lt;E12,E12&lt;=15),"NO."&amp;E12))&amp;" "&amp;D12&amp;IF(OR(B12="",D12=""),"",))</f>
        <v xml:space="preserve"> NO.1 BYPASS V/V</v>
      </c>
      <c r="G12" s="21" t="s">
        <v>25</v>
      </c>
      <c r="H12" s="16" t="s">
        <v>71</v>
      </c>
      <c r="I12" s="62" t="s">
        <v>91</v>
      </c>
      <c r="J12" s="62"/>
      <c r="K12" s="62"/>
      <c r="L12" s="62"/>
      <c r="M12" s="53"/>
      <c r="N12" s="10"/>
    </row>
    <row r="13" spans="2:14" ht="18.75" customHeight="1" x14ac:dyDescent="0.3">
      <c r="B13" s="5" t="s">
        <v>72</v>
      </c>
      <c r="C13" s="6"/>
      <c r="D13" s="12" t="s">
        <v>5</v>
      </c>
      <c r="E13" s="6">
        <v>2</v>
      </c>
      <c r="F13" s="18" t="str">
        <f t="shared" si="0"/>
        <v xml:space="preserve"> NO.2 BYPASS V/V</v>
      </c>
      <c r="G13" s="21" t="s">
        <v>25</v>
      </c>
      <c r="H13" s="16" t="s">
        <v>71</v>
      </c>
      <c r="I13" s="62"/>
      <c r="J13" s="62"/>
      <c r="K13" s="62"/>
      <c r="L13" s="62"/>
      <c r="M13" s="53"/>
      <c r="N13" s="10"/>
    </row>
    <row r="14" spans="2:14" ht="18.75" customHeight="1" x14ac:dyDescent="0.3">
      <c r="B14" s="5" t="s">
        <v>73</v>
      </c>
      <c r="C14" s="6"/>
      <c r="D14" s="12" t="s">
        <v>5</v>
      </c>
      <c r="E14" s="6">
        <v>3</v>
      </c>
      <c r="F14" s="18" t="str">
        <f t="shared" si="0"/>
        <v xml:space="preserve"> NO.3 BYPASS V/V</v>
      </c>
      <c r="G14" s="21" t="s">
        <v>25</v>
      </c>
      <c r="H14" s="16" t="s">
        <v>71</v>
      </c>
      <c r="I14" s="62"/>
      <c r="J14" s="62"/>
      <c r="K14" s="62"/>
      <c r="L14" s="62"/>
      <c r="M14" s="53"/>
      <c r="N14" s="10"/>
    </row>
    <row r="15" spans="2:14" ht="18.75" customHeight="1" x14ac:dyDescent="0.3">
      <c r="B15" s="5" t="s">
        <v>74</v>
      </c>
      <c r="C15" s="6"/>
      <c r="D15" s="12" t="s">
        <v>5</v>
      </c>
      <c r="E15" s="6">
        <v>4</v>
      </c>
      <c r="F15" s="18" t="str">
        <f t="shared" si="0"/>
        <v xml:space="preserve"> NO.4 BYPASS V/V</v>
      </c>
      <c r="G15" s="21" t="s">
        <v>25</v>
      </c>
      <c r="H15" s="16" t="s">
        <v>71</v>
      </c>
      <c r="I15" s="62"/>
      <c r="J15" s="62"/>
      <c r="K15" s="62"/>
      <c r="L15" s="62"/>
      <c r="M15" s="53"/>
    </row>
    <row r="16" spans="2:14" ht="18.75" customHeight="1" x14ac:dyDescent="0.3">
      <c r="B16" s="5" t="s">
        <v>75</v>
      </c>
      <c r="C16" s="6"/>
      <c r="D16" s="12" t="s">
        <v>5</v>
      </c>
      <c r="E16" s="6">
        <v>5</v>
      </c>
      <c r="F16" s="18" t="str">
        <f t="shared" si="0"/>
        <v xml:space="preserve"> NO.5 BYPASS V/V</v>
      </c>
      <c r="G16" s="21" t="s">
        <v>25</v>
      </c>
      <c r="H16" s="16" t="s">
        <v>71</v>
      </c>
      <c r="I16" s="62"/>
      <c r="J16" s="62"/>
      <c r="K16" s="62"/>
      <c r="L16" s="62"/>
      <c r="M16" s="53"/>
    </row>
    <row r="17" spans="2:14" ht="18.75" customHeight="1" x14ac:dyDescent="0.3">
      <c r="B17" s="5" t="s">
        <v>76</v>
      </c>
      <c r="C17" s="6"/>
      <c r="D17" s="12" t="s">
        <v>5</v>
      </c>
      <c r="E17" s="6">
        <v>6</v>
      </c>
      <c r="F17" s="18" t="str">
        <f t="shared" si="0"/>
        <v xml:space="preserve"> NO.6 BYPASS V/V</v>
      </c>
      <c r="G17" s="21" t="s">
        <v>25</v>
      </c>
      <c r="H17" s="16" t="s">
        <v>71</v>
      </c>
      <c r="I17" s="62"/>
      <c r="J17" s="62"/>
      <c r="K17" s="62"/>
      <c r="L17" s="62"/>
      <c r="M17" s="53"/>
    </row>
    <row r="18" spans="2:14" ht="18.75" customHeight="1" x14ac:dyDescent="0.3">
      <c r="B18" s="5" t="s">
        <v>77</v>
      </c>
      <c r="C18" s="6"/>
      <c r="D18" s="12" t="s">
        <v>5</v>
      </c>
      <c r="E18" s="6">
        <v>7</v>
      </c>
      <c r="F18" s="18" t="str">
        <f t="shared" si="0"/>
        <v xml:space="preserve"> NO.7 BYPASS V/V</v>
      </c>
      <c r="G18" s="21" t="s">
        <v>25</v>
      </c>
      <c r="H18" s="16" t="s">
        <v>71</v>
      </c>
      <c r="I18" s="62"/>
      <c r="J18" s="62"/>
      <c r="K18" s="62"/>
      <c r="L18" s="62"/>
      <c r="M18" s="53"/>
    </row>
    <row r="19" spans="2:14" ht="18.75" customHeight="1" x14ac:dyDescent="0.3">
      <c r="B19" s="54" t="s">
        <v>22</v>
      </c>
      <c r="C19" s="54"/>
      <c r="D19" s="54"/>
      <c r="E19" s="17" t="s">
        <v>21</v>
      </c>
      <c r="F19" s="24" t="s">
        <v>4</v>
      </c>
      <c r="G19" s="13" t="s">
        <v>10</v>
      </c>
      <c r="H19" s="8"/>
      <c r="I19" s="50"/>
      <c r="J19" s="55"/>
      <c r="K19" s="55"/>
      <c r="L19" s="56"/>
    </row>
    <row r="20" spans="2:14" ht="18.75" customHeight="1" x14ac:dyDescent="0.3">
      <c r="B20" s="6"/>
      <c r="C20" s="6"/>
      <c r="D20" s="12" t="s">
        <v>9</v>
      </c>
      <c r="E20" s="6">
        <v>1</v>
      </c>
      <c r="F20" s="18" t="str">
        <f>IF(C20="APT","(APT)",IF(C20="BWT","(BWT)",IF(C20="APT/BWT","(APT/BWT)","")))&amp;" "&amp;IF(OR(E20=0),"",IF(OR(0&lt;E20,E20&lt;=15),"NO."&amp;E20))&amp;" "&amp;D20&amp;""</f>
        <v xml:space="preserve"> NO.1 BALLAST P/P</v>
      </c>
      <c r="G20" s="19" t="s">
        <v>24</v>
      </c>
      <c r="H20" s="9"/>
      <c r="I20" s="42"/>
      <c r="J20" s="42"/>
      <c r="K20" s="42"/>
      <c r="L20" s="42"/>
    </row>
    <row r="21" spans="2:14" ht="18.75" customHeight="1" x14ac:dyDescent="0.3">
      <c r="B21" s="6"/>
      <c r="C21" s="6"/>
      <c r="D21" s="12" t="s">
        <v>8</v>
      </c>
      <c r="E21" s="6">
        <v>2</v>
      </c>
      <c r="F21" s="18" t="str">
        <f>IF(C21="APT","(APT)",IF(C21="BWT","(BWT)",IF(C21="APT/BWT","(APT/BWT)","")))&amp;" "&amp;IF(OR(E21=0),"",IF(OR(0&lt;E21,E21&lt;=15),"NO."&amp;E21))&amp;" "&amp;D21&amp;" "</f>
        <v xml:space="preserve"> NO.2 BALLAST P/P </v>
      </c>
      <c r="G21" s="19" t="s">
        <v>24</v>
      </c>
      <c r="H21" s="9"/>
      <c r="I21" s="42"/>
      <c r="J21" s="42"/>
      <c r="K21" s="42"/>
      <c r="L21" s="42"/>
      <c r="N21" s="1"/>
    </row>
    <row r="22" spans="2:14" ht="18.75" customHeight="1" x14ac:dyDescent="0.3">
      <c r="B22" s="6"/>
      <c r="C22" s="6"/>
      <c r="D22" s="12" t="s">
        <v>78</v>
      </c>
      <c r="E22" s="6">
        <v>0</v>
      </c>
      <c r="F22" s="18" t="str">
        <f>IF(C22="APT","(APT)",IF(C22="BWT","(BWT)",IF(C22="APT/BWT","(APT/BWT)","")))&amp;" "&amp;IF(OR(E22=0),"",IF(OR(0&lt;E22,E22&lt;=15),"NO."&amp;E22))&amp;" "&amp;D22&amp;" "</f>
        <v xml:space="preserve">  FIRE &amp; G/S P/P </v>
      </c>
      <c r="G22" s="19" t="s">
        <v>24</v>
      </c>
      <c r="H22" s="9"/>
      <c r="I22" s="42"/>
      <c r="J22" s="42"/>
      <c r="K22" s="42"/>
      <c r="L22" s="42"/>
      <c r="N22" s="1"/>
    </row>
    <row r="23" spans="2:14" ht="18.75" customHeight="1" x14ac:dyDescent="0.3">
      <c r="B23" s="6"/>
      <c r="C23" s="6"/>
      <c r="D23" s="12" t="s">
        <v>79</v>
      </c>
      <c r="E23" s="6">
        <v>0</v>
      </c>
      <c r="F23" s="18" t="str">
        <f>IF(C23="APT","(APT)",IF(C23="BWT","(BWT)",IF(C23="APT/BWT","(APT/BWT)","")))&amp;" "&amp;IF(OR(E23=0),"",IF(OR(0&lt;E23,E23&lt;=15),"NO."&amp;E23))&amp;" "&amp;D23&amp;" "</f>
        <v xml:space="preserve">  FIRE &amp; BILGE P/P </v>
      </c>
      <c r="G23" s="19" t="s">
        <v>24</v>
      </c>
      <c r="H23" s="9"/>
      <c r="I23" s="42"/>
      <c r="J23" s="42"/>
      <c r="K23" s="42"/>
      <c r="L23" s="42"/>
      <c r="N23" s="1"/>
    </row>
    <row r="24" spans="2:14" ht="18.75" customHeight="1" x14ac:dyDescent="0.3">
      <c r="B24" s="6"/>
      <c r="C24" s="6"/>
      <c r="D24" s="12" t="s">
        <v>20</v>
      </c>
      <c r="E24" s="6"/>
      <c r="F24" s="18" t="s">
        <v>20</v>
      </c>
      <c r="G24" s="19" t="s">
        <v>19</v>
      </c>
      <c r="H24" s="9"/>
      <c r="I24" s="42" t="s">
        <v>80</v>
      </c>
      <c r="J24" s="42"/>
      <c r="K24" s="42"/>
      <c r="L24" s="42"/>
      <c r="N24" s="1"/>
    </row>
    <row r="25" spans="2:14" ht="18.75" customHeight="1" x14ac:dyDescent="0.3">
      <c r="B25" s="47" t="s">
        <v>31</v>
      </c>
      <c r="C25" s="48"/>
      <c r="D25" s="48"/>
      <c r="E25" s="49"/>
      <c r="F25" s="24" t="s">
        <v>4</v>
      </c>
      <c r="G25" s="13" t="s">
        <v>10</v>
      </c>
      <c r="H25" s="8"/>
      <c r="I25" s="50"/>
      <c r="J25" s="51"/>
      <c r="K25" s="51"/>
      <c r="L25" s="52"/>
    </row>
    <row r="26" spans="2:14" ht="27.75" customHeight="1" x14ac:dyDescent="0.3">
      <c r="B26" s="37" t="s">
        <v>27</v>
      </c>
      <c r="C26" s="38"/>
      <c r="D26" s="38"/>
      <c r="E26" s="9"/>
      <c r="F26" s="18" t="s">
        <v>12</v>
      </c>
      <c r="G26" s="19" t="s">
        <v>14</v>
      </c>
      <c r="H26" s="9"/>
      <c r="I26" s="39"/>
      <c r="J26" s="40"/>
      <c r="K26" s="40"/>
      <c r="L26" s="41"/>
    </row>
    <row r="27" spans="2:14" ht="27.75" customHeight="1" x14ac:dyDescent="0.3">
      <c r="B27" s="37" t="s">
        <v>41</v>
      </c>
      <c r="C27" s="38"/>
      <c r="D27" s="38"/>
      <c r="E27" s="9"/>
      <c r="F27" s="18" t="s">
        <v>15</v>
      </c>
      <c r="G27" s="19" t="s">
        <v>17</v>
      </c>
      <c r="H27" s="9"/>
      <c r="I27" s="43" t="s">
        <v>81</v>
      </c>
      <c r="J27" s="44"/>
      <c r="K27" s="44"/>
      <c r="L27" s="44"/>
    </row>
    <row r="28" spans="2:14" ht="27.75" customHeight="1" x14ac:dyDescent="0.3">
      <c r="B28" s="18" t="s">
        <v>51</v>
      </c>
      <c r="C28" s="45" t="s">
        <v>46</v>
      </c>
      <c r="D28" s="45"/>
      <c r="E28" s="9"/>
      <c r="F28" s="18" t="s">
        <v>82</v>
      </c>
      <c r="G28" s="19" t="s">
        <v>47</v>
      </c>
      <c r="H28" s="20"/>
      <c r="I28" s="39"/>
      <c r="J28" s="40"/>
      <c r="K28" s="40"/>
      <c r="L28" s="41"/>
    </row>
    <row r="29" spans="2:14" ht="27.75" customHeight="1" x14ac:dyDescent="0.3">
      <c r="B29" s="18" t="s">
        <v>83</v>
      </c>
      <c r="C29" s="38" t="s">
        <v>28</v>
      </c>
      <c r="D29" s="38"/>
      <c r="E29" s="9"/>
      <c r="F29" s="27" t="s">
        <v>84</v>
      </c>
      <c r="G29" s="19" t="s">
        <v>18</v>
      </c>
      <c r="H29" s="9"/>
      <c r="I29" s="46" t="s">
        <v>85</v>
      </c>
      <c r="J29" s="42"/>
      <c r="K29" s="42"/>
      <c r="L29" s="42"/>
    </row>
    <row r="30" spans="2:14" ht="27.75" customHeight="1" x14ac:dyDescent="0.3">
      <c r="B30" s="18" t="s">
        <v>83</v>
      </c>
      <c r="C30" s="38" t="s">
        <v>29</v>
      </c>
      <c r="D30" s="38"/>
      <c r="E30" s="9"/>
      <c r="F30" s="18" t="s">
        <v>16</v>
      </c>
      <c r="G30" s="19" t="s">
        <v>18</v>
      </c>
      <c r="H30" s="9"/>
      <c r="I30" s="39"/>
      <c r="J30" s="40"/>
      <c r="K30" s="40"/>
      <c r="L30" s="41"/>
    </row>
    <row r="31" spans="2:14" ht="27.75" customHeight="1" x14ac:dyDescent="0.3">
      <c r="B31" s="18" t="s">
        <v>83</v>
      </c>
      <c r="C31" s="38" t="s">
        <v>42</v>
      </c>
      <c r="D31" s="38"/>
      <c r="E31" s="9"/>
      <c r="F31" s="18" t="s">
        <v>30</v>
      </c>
      <c r="G31" s="19" t="s">
        <v>23</v>
      </c>
      <c r="H31" s="28"/>
      <c r="I31" s="42" t="s">
        <v>36</v>
      </c>
      <c r="J31" s="42"/>
      <c r="K31" s="42"/>
      <c r="L31" s="42"/>
    </row>
    <row r="32" spans="2:14" ht="27.75" customHeight="1" x14ac:dyDescent="0.3">
      <c r="B32" s="37" t="s">
        <v>86</v>
      </c>
      <c r="C32" s="38"/>
      <c r="D32" s="38"/>
      <c r="E32" s="9"/>
      <c r="F32" s="18" t="s">
        <v>87</v>
      </c>
      <c r="G32" s="19" t="s">
        <v>23</v>
      </c>
      <c r="H32" s="20"/>
      <c r="I32" s="39"/>
      <c r="J32" s="40"/>
      <c r="K32" s="40"/>
      <c r="L32" s="41"/>
    </row>
    <row r="33" spans="2:12" ht="27.75" customHeight="1" x14ac:dyDescent="0.3">
      <c r="B33" s="37" t="s">
        <v>86</v>
      </c>
      <c r="C33" s="38"/>
      <c r="D33" s="38"/>
      <c r="E33" s="9"/>
      <c r="F33" s="18" t="s">
        <v>30</v>
      </c>
      <c r="G33" s="19" t="s">
        <v>23</v>
      </c>
      <c r="H33" s="20"/>
      <c r="I33" s="39"/>
      <c r="J33" s="40"/>
      <c r="K33" s="40"/>
      <c r="L33" s="41"/>
    </row>
  </sheetData>
  <mergeCells count="38">
    <mergeCell ref="G1:H1"/>
    <mergeCell ref="B2:F4"/>
    <mergeCell ref="G2:H2"/>
    <mergeCell ref="I2:K2"/>
    <mergeCell ref="G3:H3"/>
    <mergeCell ref="G4:H4"/>
    <mergeCell ref="I22:L22"/>
    <mergeCell ref="B5:D5"/>
    <mergeCell ref="I5:L5"/>
    <mergeCell ref="I6:L10"/>
    <mergeCell ref="B11:D11"/>
    <mergeCell ref="I11:L11"/>
    <mergeCell ref="I12:L18"/>
    <mergeCell ref="M12:M18"/>
    <mergeCell ref="B19:D19"/>
    <mergeCell ref="I19:L19"/>
    <mergeCell ref="I20:L20"/>
    <mergeCell ref="I21:L21"/>
    <mergeCell ref="I23:L23"/>
    <mergeCell ref="I24:L24"/>
    <mergeCell ref="B25:E25"/>
    <mergeCell ref="I25:L25"/>
    <mergeCell ref="B26:D26"/>
    <mergeCell ref="I26:L26"/>
    <mergeCell ref="B27:D27"/>
    <mergeCell ref="I27:L27"/>
    <mergeCell ref="C28:D28"/>
    <mergeCell ref="I28:L28"/>
    <mergeCell ref="C29:D29"/>
    <mergeCell ref="I29:L29"/>
    <mergeCell ref="B33:D33"/>
    <mergeCell ref="I33:L33"/>
    <mergeCell ref="C30:D30"/>
    <mergeCell ref="I30:L30"/>
    <mergeCell ref="C31:D31"/>
    <mergeCell ref="I31:L31"/>
    <mergeCell ref="B32:D32"/>
    <mergeCell ref="I32:L32"/>
  </mergeCells>
  <phoneticPr fontId="1" type="noConversion"/>
  <conditionalFormatting sqref="I12">
    <cfRule type="cellIs" dxfId="2" priority="1" operator="equal">
      <formula>"OPEN"</formula>
    </cfRule>
  </conditionalFormatting>
  <dataValidations count="1">
    <dataValidation type="whole" allowBlank="1" showInputMessage="1" showErrorMessage="1" sqref="E20:E24 E12:E18 E6:E10 E26:E33" xr:uid="{B45DA141-525F-4D88-9BF7-763BCB53E914}">
      <formula1>0</formula1>
      <formula2>12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5607-80FC-4432-A256-B973DFF7B1FD}">
  <sheetPr>
    <pageSetUpPr fitToPage="1"/>
  </sheetPr>
  <dimension ref="B1:N90"/>
  <sheetViews>
    <sheetView tabSelected="1" zoomScale="85" zoomScaleNormal="85" workbookViewId="0"/>
  </sheetViews>
  <sheetFormatPr defaultColWidth="9" defaultRowHeight="13.5" x14ac:dyDescent="0.3"/>
  <cols>
    <col min="1" max="1" width="1.625" style="3" customWidth="1"/>
    <col min="2" max="2" width="12.625" style="4" customWidth="1"/>
    <col min="3" max="3" width="6.125" style="4" hidden="1" customWidth="1"/>
    <col min="4" max="4" width="39.125" style="4" customWidth="1"/>
    <col min="5" max="5" width="5" style="4" bestFit="1" customWidth="1"/>
    <col min="6" max="6" width="47.5" style="4" customWidth="1"/>
    <col min="7" max="7" width="27.875" style="4" customWidth="1"/>
    <col min="8" max="8" width="9.875" style="4" bestFit="1" customWidth="1"/>
    <col min="9" max="12" width="15" style="4" customWidth="1"/>
    <col min="13" max="13" width="64.125" style="14" customWidth="1"/>
    <col min="14" max="14" width="32.125" style="3" bestFit="1" customWidth="1"/>
    <col min="15" max="15" width="17.625" style="3" bestFit="1" customWidth="1"/>
    <col min="16" max="16" width="12.875" style="3" bestFit="1" customWidth="1"/>
    <col min="17" max="17" width="27.125" style="3" bestFit="1" customWidth="1"/>
    <col min="18" max="18" width="46" style="3" bestFit="1" customWidth="1"/>
    <col min="19" max="19" width="8" style="3" bestFit="1" customWidth="1"/>
    <col min="20" max="16384" width="9" style="3"/>
  </cols>
  <sheetData>
    <row r="1" spans="2:14" s="1" customFormat="1" ht="24.75" customHeight="1" x14ac:dyDescent="0.3">
      <c r="B1" s="22"/>
      <c r="C1" s="22"/>
      <c r="D1" s="22"/>
      <c r="E1" s="22"/>
      <c r="F1" s="22"/>
      <c r="G1" s="63" t="s">
        <v>92</v>
      </c>
      <c r="H1" s="63"/>
      <c r="I1" s="2"/>
      <c r="J1" s="2"/>
      <c r="K1" s="2"/>
      <c r="L1" s="2"/>
      <c r="M1" s="14"/>
    </row>
    <row r="2" spans="2:14" ht="24.75" customHeight="1" x14ac:dyDescent="0.3">
      <c r="B2" s="64" t="s">
        <v>48</v>
      </c>
      <c r="C2" s="65"/>
      <c r="D2" s="65"/>
      <c r="E2" s="65"/>
      <c r="F2" s="66"/>
      <c r="G2" s="89" t="s">
        <v>96</v>
      </c>
      <c r="H2" s="90"/>
      <c r="I2" s="91"/>
      <c r="J2" s="91"/>
      <c r="K2" s="91"/>
      <c r="L2" s="33"/>
      <c r="M2" s="26" t="s">
        <v>54</v>
      </c>
    </row>
    <row r="3" spans="2:14" ht="28.5" customHeight="1" x14ac:dyDescent="0.3">
      <c r="B3" s="67"/>
      <c r="C3" s="68"/>
      <c r="D3" s="68"/>
      <c r="E3" s="68"/>
      <c r="F3" s="69"/>
      <c r="G3" s="97" t="s">
        <v>97</v>
      </c>
      <c r="H3" s="96"/>
      <c r="I3" s="33"/>
      <c r="J3" s="33"/>
      <c r="K3" s="33"/>
      <c r="L3" s="33"/>
    </row>
    <row r="4" spans="2:14" ht="28.5" customHeight="1" x14ac:dyDescent="0.3">
      <c r="B4" s="70"/>
      <c r="C4" s="71"/>
      <c r="D4" s="71"/>
      <c r="E4" s="71"/>
      <c r="F4" s="72"/>
      <c r="G4" s="97" t="s">
        <v>98</v>
      </c>
      <c r="H4" s="96"/>
      <c r="I4" s="35"/>
      <c r="J4" s="36"/>
      <c r="K4" s="36"/>
      <c r="L4" s="36"/>
      <c r="M4" s="14" t="s">
        <v>40</v>
      </c>
      <c r="N4" s="10"/>
    </row>
    <row r="5" spans="2:14" ht="28.5" customHeight="1" x14ac:dyDescent="0.3">
      <c r="B5" s="103" t="s">
        <v>106</v>
      </c>
      <c r="C5" s="104"/>
      <c r="D5" s="104"/>
      <c r="E5" s="104"/>
      <c r="F5" s="104"/>
      <c r="G5" s="104"/>
      <c r="H5" s="105"/>
      <c r="I5" s="100" t="s">
        <v>50</v>
      </c>
      <c r="J5" s="101"/>
      <c r="K5" s="102"/>
      <c r="L5" s="34" t="s">
        <v>13</v>
      </c>
      <c r="M5" s="29"/>
      <c r="N5" s="10"/>
    </row>
    <row r="6" spans="2:14" ht="28.5" customHeight="1" x14ac:dyDescent="0.3">
      <c r="B6" s="106"/>
      <c r="C6" s="107"/>
      <c r="D6" s="107"/>
      <c r="E6" s="107"/>
      <c r="F6" s="107"/>
      <c r="G6" s="107"/>
      <c r="H6" s="108"/>
      <c r="I6" s="23" t="s">
        <v>3</v>
      </c>
      <c r="J6" s="23" t="s">
        <v>2</v>
      </c>
      <c r="K6" s="23" t="s">
        <v>32</v>
      </c>
      <c r="L6" s="23" t="s">
        <v>33</v>
      </c>
      <c r="M6" s="29"/>
      <c r="N6" s="10"/>
    </row>
    <row r="7" spans="2:14" ht="28.5" customHeight="1" x14ac:dyDescent="0.3">
      <c r="B7" s="109"/>
      <c r="C7" s="110"/>
      <c r="D7" s="110"/>
      <c r="E7" s="110"/>
      <c r="F7" s="110"/>
      <c r="G7" s="110"/>
      <c r="H7" s="111"/>
      <c r="I7" s="6" t="s">
        <v>107</v>
      </c>
      <c r="J7" s="6" t="s">
        <v>60</v>
      </c>
      <c r="K7" s="6" t="s">
        <v>60</v>
      </c>
      <c r="L7" s="6" t="s">
        <v>108</v>
      </c>
      <c r="M7" s="29"/>
      <c r="N7" s="10"/>
    </row>
    <row r="8" spans="2:14" ht="18.75" customHeight="1" x14ac:dyDescent="0.3">
      <c r="B8" s="54" t="s">
        <v>26</v>
      </c>
      <c r="C8" s="57"/>
      <c r="D8" s="57"/>
      <c r="E8" s="17" t="s">
        <v>21</v>
      </c>
      <c r="F8" s="24" t="s">
        <v>4</v>
      </c>
      <c r="G8" s="25" t="s">
        <v>10</v>
      </c>
      <c r="H8" s="7" t="s">
        <v>38</v>
      </c>
      <c r="I8" s="50" t="s">
        <v>34</v>
      </c>
      <c r="J8" s="51"/>
      <c r="K8" s="51"/>
      <c r="L8" s="52"/>
      <c r="M8" s="29" t="s">
        <v>55</v>
      </c>
      <c r="N8" s="10"/>
    </row>
    <row r="9" spans="2:14" ht="18.75" customHeight="1" x14ac:dyDescent="0.3">
      <c r="B9" s="5" t="s">
        <v>0</v>
      </c>
      <c r="C9" s="6"/>
      <c r="D9" s="11" t="s">
        <v>93</v>
      </c>
      <c r="E9" s="6">
        <v>1</v>
      </c>
      <c r="F9" s="18" t="str">
        <f t="shared" ref="F9:F12" si="0">IF(OR(B9="",D9=""),"",IF(C9="APT","(APT)",IF(C9="BWT","(BWT)",IF(C9="APT/BWT","(APT/BWT)","")))&amp;" "&amp;IF(OR(E9=0),"",IF(OR(0&lt;E9,E9&lt;=15),"NO."&amp;E9))&amp;" "&amp;D9&amp;IF(OR(B9="",D9=""),"",))</f>
        <v xml:space="preserve"> NO.1 FEEDER PUMP INLET V/V</v>
      </c>
      <c r="G9" s="31" t="s">
        <v>68</v>
      </c>
      <c r="H9" s="16" t="s">
        <v>11</v>
      </c>
      <c r="I9" s="92"/>
      <c r="J9" s="93"/>
      <c r="K9" s="93"/>
      <c r="L9" s="94"/>
      <c r="M9" s="15"/>
      <c r="N9" s="10"/>
    </row>
    <row r="10" spans="2:14" ht="18.75" customHeight="1" x14ac:dyDescent="0.3">
      <c r="B10" s="5" t="s">
        <v>1</v>
      </c>
      <c r="C10" s="6"/>
      <c r="D10" s="11" t="s">
        <v>94</v>
      </c>
      <c r="E10" s="6">
        <v>2</v>
      </c>
      <c r="F10" s="18" t="str">
        <f t="shared" si="0"/>
        <v xml:space="preserve"> NO.2 FEEDER PUMP INLET V/V (FOR LOW SALINITY)</v>
      </c>
      <c r="G10" s="31" t="s">
        <v>68</v>
      </c>
      <c r="H10" s="16" t="s">
        <v>11</v>
      </c>
      <c r="I10" s="80"/>
      <c r="J10" s="81"/>
      <c r="K10" s="81"/>
      <c r="L10" s="82"/>
      <c r="M10" s="15"/>
      <c r="N10" s="10"/>
    </row>
    <row r="11" spans="2:14" ht="18.75" customHeight="1" x14ac:dyDescent="0.3">
      <c r="B11" s="5" t="s">
        <v>52</v>
      </c>
      <c r="C11" s="6"/>
      <c r="D11" s="11" t="s">
        <v>95</v>
      </c>
      <c r="E11" s="6">
        <v>0</v>
      </c>
      <c r="F11" s="18" t="str">
        <f t="shared" si="0"/>
        <v xml:space="preserve">  OV'BD V/V </v>
      </c>
      <c r="G11" s="21" t="s">
        <v>25</v>
      </c>
      <c r="H11" s="16" t="s">
        <v>11</v>
      </c>
      <c r="I11" s="80"/>
      <c r="J11" s="81"/>
      <c r="K11" s="81"/>
      <c r="L11" s="82"/>
      <c r="M11" s="15"/>
      <c r="N11" s="10"/>
    </row>
    <row r="12" spans="2:14" ht="18.75" customHeight="1" x14ac:dyDescent="0.3">
      <c r="B12" s="5" t="s">
        <v>53</v>
      </c>
      <c r="C12" s="6"/>
      <c r="D12" s="11" t="s">
        <v>13</v>
      </c>
      <c r="E12" s="6">
        <v>0</v>
      </c>
      <c r="F12" s="18" t="str">
        <f t="shared" si="0"/>
        <v xml:space="preserve">  STRIPPING</v>
      </c>
      <c r="G12" s="21" t="s">
        <v>25</v>
      </c>
      <c r="H12" s="16" t="s">
        <v>11</v>
      </c>
      <c r="I12" s="80"/>
      <c r="J12" s="81"/>
      <c r="K12" s="81"/>
      <c r="L12" s="82"/>
      <c r="M12" s="15"/>
      <c r="N12" s="10"/>
    </row>
    <row r="13" spans="2:14" ht="18.75" customHeight="1" x14ac:dyDescent="0.3">
      <c r="B13" s="54" t="s">
        <v>39</v>
      </c>
      <c r="C13" s="57"/>
      <c r="D13" s="57"/>
      <c r="E13" s="17" t="s">
        <v>21</v>
      </c>
      <c r="F13" s="24" t="s">
        <v>4</v>
      </c>
      <c r="G13" s="25" t="s">
        <v>10</v>
      </c>
      <c r="H13" s="7" t="s">
        <v>38</v>
      </c>
      <c r="I13" s="59" t="s">
        <v>37</v>
      </c>
      <c r="J13" s="60"/>
      <c r="K13" s="60"/>
      <c r="L13" s="61"/>
      <c r="M13" s="15"/>
      <c r="N13" s="10"/>
    </row>
    <row r="14" spans="2:14" ht="20.25" customHeight="1" x14ac:dyDescent="0.3">
      <c r="B14" s="5" t="s">
        <v>99</v>
      </c>
      <c r="C14" s="6"/>
      <c r="D14" s="12" t="s">
        <v>5</v>
      </c>
      <c r="E14" s="6">
        <v>1</v>
      </c>
      <c r="F14" s="18" t="str">
        <f>IF(OR(B14="",D14=""),"",IF(C14="APT","(APT)",IF(C14="BWT","(BWT)",IF(C14="APT/BWT","(APT/BWT)","")))&amp;" "&amp;IF(OR(E14=0),"",IF(OR(0&lt;E14,E14&lt;=15),"NO."&amp;E14))&amp;" "&amp;D14&amp;IF(OR(B14="",D14=""),"",))</f>
        <v xml:space="preserve"> NO.1 BYPASS V/V</v>
      </c>
      <c r="G14" s="21" t="s">
        <v>25</v>
      </c>
      <c r="H14" s="16" t="s">
        <v>11</v>
      </c>
      <c r="I14" s="83" t="s">
        <v>103</v>
      </c>
      <c r="J14" s="84"/>
      <c r="K14" s="84"/>
      <c r="L14" s="85"/>
      <c r="M14" s="53"/>
      <c r="N14" s="10"/>
    </row>
    <row r="15" spans="2:14" ht="20.25" customHeight="1" x14ac:dyDescent="0.3">
      <c r="B15" s="5" t="s">
        <v>100</v>
      </c>
      <c r="C15" s="6"/>
      <c r="D15" s="12" t="s">
        <v>5</v>
      </c>
      <c r="E15" s="6">
        <v>2</v>
      </c>
      <c r="F15" s="18" t="str">
        <f>IF(OR(B15="",D15=""),"",IF(C15="APT","(APT)",IF(C15="BWT","(BWT)",IF(C15="APT/BWT","(APT/BWT)","")))&amp;" "&amp;IF(OR(E15=0),"",IF(OR(0&lt;E15,E15&lt;=15),"NO."&amp;E15))&amp;" "&amp;D15&amp;IF(OR(B15="",D15=""),"",))</f>
        <v xml:space="preserve"> NO.2 BYPASS V/V</v>
      </c>
      <c r="G15" s="21" t="s">
        <v>25</v>
      </c>
      <c r="H15" s="16" t="s">
        <v>11</v>
      </c>
      <c r="I15" s="86"/>
      <c r="J15" s="87"/>
      <c r="K15" s="87"/>
      <c r="L15" s="88"/>
      <c r="M15" s="53"/>
      <c r="N15" s="10"/>
    </row>
    <row r="16" spans="2:14" ht="20.25" customHeight="1" x14ac:dyDescent="0.3">
      <c r="B16" s="5" t="s">
        <v>101</v>
      </c>
      <c r="C16" s="6"/>
      <c r="D16" s="12" t="s">
        <v>5</v>
      </c>
      <c r="E16" s="6">
        <v>3</v>
      </c>
      <c r="F16" s="18" t="str">
        <f>IF(OR(B16="",D16=""),"",IF(C16="APT","(APT)",IF(C16="BWT","(BWT)",IF(C16="APT/BWT","(APT/BWT)","")))&amp;" "&amp;IF(OR(E16=0),"",IF(OR(0&lt;E16,E16&lt;=15),"NO."&amp;E16))&amp;" "&amp;D16&amp;IF(OR(B16="",D16=""),"",))</f>
        <v xml:space="preserve"> NO.3 BYPASS V/V</v>
      </c>
      <c r="G16" s="21" t="s">
        <v>25</v>
      </c>
      <c r="H16" s="16" t="s">
        <v>11</v>
      </c>
      <c r="I16" s="86"/>
      <c r="J16" s="87"/>
      <c r="K16" s="87"/>
      <c r="L16" s="88"/>
      <c r="M16" s="53"/>
      <c r="N16" s="10"/>
    </row>
    <row r="17" spans="2:12" ht="18.75" customHeight="1" x14ac:dyDescent="0.3">
      <c r="B17" s="54" t="s">
        <v>22</v>
      </c>
      <c r="C17" s="54"/>
      <c r="D17" s="54"/>
      <c r="E17" s="17" t="s">
        <v>21</v>
      </c>
      <c r="F17" s="24" t="s">
        <v>4</v>
      </c>
      <c r="G17" s="13" t="s">
        <v>10</v>
      </c>
      <c r="H17" s="8"/>
      <c r="I17" s="50"/>
      <c r="J17" s="55"/>
      <c r="K17" s="55"/>
      <c r="L17" s="56"/>
    </row>
    <row r="18" spans="2:12" ht="18.75" customHeight="1" x14ac:dyDescent="0.3">
      <c r="B18" s="6"/>
      <c r="C18" s="6"/>
      <c r="D18" s="12" t="s">
        <v>9</v>
      </c>
      <c r="E18" s="6">
        <v>1</v>
      </c>
      <c r="F18" s="18" t="str">
        <f>IF(C18="APT","(APT)",IF(C18="BWT","(BWT)",IF(C18="APT/BWT","(APT/BWT)","")))&amp;" "&amp;IF(OR(E18=0),"",IF(OR(0&lt;E18,E18&lt;=15),"NO."&amp;E18))&amp;" "&amp;D18&amp;""</f>
        <v xml:space="preserve"> NO.1 BALLAST P/P</v>
      </c>
      <c r="G18" s="19" t="s">
        <v>24</v>
      </c>
      <c r="H18" s="9"/>
      <c r="I18" s="42"/>
      <c r="J18" s="42"/>
      <c r="K18" s="42"/>
      <c r="L18" s="42"/>
    </row>
    <row r="19" spans="2:12" ht="18.75" customHeight="1" x14ac:dyDescent="0.3">
      <c r="B19" s="47" t="s">
        <v>31</v>
      </c>
      <c r="C19" s="48"/>
      <c r="D19" s="48"/>
      <c r="E19" s="49"/>
      <c r="F19" s="24" t="s">
        <v>4</v>
      </c>
      <c r="G19" s="13" t="s">
        <v>10</v>
      </c>
      <c r="H19" s="8"/>
      <c r="I19" s="50"/>
      <c r="J19" s="51"/>
      <c r="K19" s="51"/>
      <c r="L19" s="52"/>
    </row>
    <row r="20" spans="2:12" ht="28.5" customHeight="1" x14ac:dyDescent="0.3">
      <c r="B20" s="37" t="s">
        <v>27</v>
      </c>
      <c r="C20" s="38"/>
      <c r="D20" s="38"/>
      <c r="E20" s="9"/>
      <c r="F20" s="18" t="s">
        <v>12</v>
      </c>
      <c r="G20" s="19" t="s">
        <v>14</v>
      </c>
      <c r="H20" s="9"/>
      <c r="I20" s="39"/>
      <c r="J20" s="40"/>
      <c r="K20" s="40"/>
      <c r="L20" s="41"/>
    </row>
    <row r="21" spans="2:12" ht="28.5" customHeight="1" x14ac:dyDescent="0.3">
      <c r="B21" s="37" t="s">
        <v>41</v>
      </c>
      <c r="C21" s="38"/>
      <c r="D21" s="38"/>
      <c r="E21" s="9"/>
      <c r="F21" s="27" t="s">
        <v>89</v>
      </c>
      <c r="G21" s="19" t="s">
        <v>17</v>
      </c>
      <c r="H21" s="9"/>
      <c r="I21" s="98" t="s">
        <v>90</v>
      </c>
      <c r="J21" s="99"/>
      <c r="K21" s="99"/>
      <c r="L21" s="99"/>
    </row>
    <row r="22" spans="2:12" ht="28.5" customHeight="1" x14ac:dyDescent="0.3">
      <c r="B22" s="37" t="s">
        <v>51</v>
      </c>
      <c r="C22" s="38"/>
      <c r="D22" s="38"/>
      <c r="E22" s="9"/>
      <c r="F22" s="27" t="s">
        <v>88</v>
      </c>
      <c r="G22" s="19" t="s">
        <v>47</v>
      </c>
      <c r="H22" s="20"/>
      <c r="I22" s="43"/>
      <c r="J22" s="44"/>
      <c r="K22" s="44"/>
      <c r="L22" s="44"/>
    </row>
    <row r="23" spans="2:12" ht="28.5" customHeight="1" x14ac:dyDescent="0.3"/>
    <row r="24" spans="2:12" ht="28.5" customHeight="1" x14ac:dyDescent="0.3">
      <c r="B24" s="112" t="s">
        <v>109</v>
      </c>
      <c r="C24" s="113"/>
      <c r="D24" s="113"/>
      <c r="E24" s="113"/>
      <c r="F24" s="113"/>
      <c r="G24" s="113"/>
      <c r="H24" s="114"/>
      <c r="I24" s="95" t="s">
        <v>50</v>
      </c>
      <c r="J24" s="95"/>
      <c r="K24" s="96"/>
      <c r="L24" s="23" t="s">
        <v>13</v>
      </c>
    </row>
    <row r="25" spans="2:12" ht="28.5" customHeight="1" x14ac:dyDescent="0.3">
      <c r="B25" s="115"/>
      <c r="C25" s="116"/>
      <c r="D25" s="116"/>
      <c r="E25" s="116"/>
      <c r="F25" s="116"/>
      <c r="G25" s="116"/>
      <c r="H25" s="117"/>
      <c r="I25" s="32" t="s">
        <v>3</v>
      </c>
      <c r="J25" s="23" t="s">
        <v>2</v>
      </c>
      <c r="K25" s="23" t="s">
        <v>32</v>
      </c>
      <c r="L25" s="23" t="s">
        <v>33</v>
      </c>
    </row>
    <row r="26" spans="2:12" ht="28.5" customHeight="1" x14ac:dyDescent="0.3">
      <c r="B26" s="118"/>
      <c r="C26" s="119"/>
      <c r="D26" s="119"/>
      <c r="E26" s="119"/>
      <c r="F26" s="119"/>
      <c r="G26" s="119"/>
      <c r="H26" s="120"/>
      <c r="I26" s="6" t="s">
        <v>107</v>
      </c>
      <c r="J26" s="6" t="s">
        <v>60</v>
      </c>
      <c r="K26" s="6" t="s">
        <v>60</v>
      </c>
      <c r="L26" s="6" t="s">
        <v>108</v>
      </c>
    </row>
    <row r="27" spans="2:12" ht="20.25" customHeight="1" x14ac:dyDescent="0.3">
      <c r="B27" s="54" t="s">
        <v>26</v>
      </c>
      <c r="C27" s="57"/>
      <c r="D27" s="57"/>
      <c r="E27" s="17" t="s">
        <v>21</v>
      </c>
      <c r="F27" s="24" t="s">
        <v>4</v>
      </c>
      <c r="G27" s="25" t="s">
        <v>10</v>
      </c>
      <c r="H27" s="7" t="s">
        <v>38</v>
      </c>
      <c r="I27" s="50" t="s">
        <v>34</v>
      </c>
      <c r="J27" s="51"/>
      <c r="K27" s="51"/>
      <c r="L27" s="52"/>
    </row>
    <row r="28" spans="2:12" ht="20.25" customHeight="1" x14ac:dyDescent="0.3">
      <c r="B28" s="5" t="s">
        <v>44</v>
      </c>
      <c r="C28" s="6"/>
      <c r="D28" s="11" t="s">
        <v>93</v>
      </c>
      <c r="E28" s="6">
        <v>3</v>
      </c>
      <c r="F28" s="18" t="str">
        <f t="shared" ref="F28:F29" si="1">IF(OR(B28="",D28=""),"",IF(C28="APT","(APT)",IF(C28="BWT","(BWT)",IF(C28="APT/BWT","(APT/BWT)","")))&amp;" "&amp;IF(OR(E28=0),"",IF(OR(0&lt;E28,E28&lt;=15),"NO."&amp;E28))&amp;" "&amp;D28&amp;IF(OR(B28="",D28=""),"",))</f>
        <v xml:space="preserve"> NO.3 FEEDER PUMP INLET V/V</v>
      </c>
      <c r="G28" s="31" t="s">
        <v>68</v>
      </c>
      <c r="H28" s="16" t="s">
        <v>11</v>
      </c>
      <c r="I28" s="92"/>
      <c r="J28" s="93"/>
      <c r="K28" s="93"/>
      <c r="L28" s="94"/>
    </row>
    <row r="29" spans="2:12" ht="20.25" customHeight="1" x14ac:dyDescent="0.3">
      <c r="B29" s="5" t="s">
        <v>45</v>
      </c>
      <c r="C29" s="6"/>
      <c r="D29" s="11" t="s">
        <v>94</v>
      </c>
      <c r="E29" s="6">
        <v>4</v>
      </c>
      <c r="F29" s="18" t="str">
        <f t="shared" si="1"/>
        <v xml:space="preserve"> NO.4 FEEDER PUMP INLET V/V (FOR LOW SALINITY)</v>
      </c>
      <c r="G29" s="31" t="s">
        <v>68</v>
      </c>
      <c r="H29" s="16" t="s">
        <v>11</v>
      </c>
      <c r="I29" s="80"/>
      <c r="J29" s="81"/>
      <c r="K29" s="81"/>
      <c r="L29" s="82"/>
    </row>
    <row r="30" spans="2:12" ht="20.25" customHeight="1" x14ac:dyDescent="0.3">
      <c r="B30" s="54" t="s">
        <v>39</v>
      </c>
      <c r="C30" s="57"/>
      <c r="D30" s="57"/>
      <c r="E30" s="17" t="s">
        <v>21</v>
      </c>
      <c r="F30" s="24" t="s">
        <v>4</v>
      </c>
      <c r="G30" s="25" t="s">
        <v>10</v>
      </c>
      <c r="H30" s="7" t="s">
        <v>38</v>
      </c>
      <c r="I30" s="59" t="s">
        <v>37</v>
      </c>
      <c r="J30" s="60"/>
      <c r="K30" s="60"/>
      <c r="L30" s="61"/>
    </row>
    <row r="31" spans="2:12" ht="20.25" customHeight="1" x14ac:dyDescent="0.3">
      <c r="B31" s="5" t="s">
        <v>102</v>
      </c>
      <c r="C31" s="6"/>
      <c r="D31" s="12" t="s">
        <v>5</v>
      </c>
      <c r="E31" s="6">
        <v>4</v>
      </c>
      <c r="F31" s="18" t="str">
        <f>IF(OR(B31="",D31=""),"",IF(C31="APT","(APT)",IF(C31="BWT","(BWT)",IF(C31="APT/BWT","(APT/BWT)","")))&amp;" "&amp;IF(OR(E31=0),"",IF(OR(0&lt;E31,E31&lt;=15),"NO."&amp;E31))&amp;" "&amp;D31&amp;IF(OR(B31="",D31=""),"",))</f>
        <v xml:space="preserve"> NO.4 BYPASS V/V</v>
      </c>
      <c r="G31" s="21" t="s">
        <v>25</v>
      </c>
      <c r="H31" s="16" t="s">
        <v>11</v>
      </c>
      <c r="I31" s="83" t="s">
        <v>103</v>
      </c>
      <c r="J31" s="84"/>
      <c r="K31" s="84"/>
      <c r="L31" s="85"/>
    </row>
    <row r="32" spans="2:12" ht="20.25" customHeight="1" x14ac:dyDescent="0.3">
      <c r="B32" s="5" t="s">
        <v>104</v>
      </c>
      <c r="C32" s="6"/>
      <c r="D32" s="12" t="s">
        <v>5</v>
      </c>
      <c r="E32" s="6">
        <v>5</v>
      </c>
      <c r="F32" s="18" t="str">
        <f t="shared" ref="F32:F33" si="2">IF(OR(B32="",D32=""),"",IF(C32="APT","(APT)",IF(C32="BWT","(BWT)",IF(C32="APT/BWT","(APT/BWT)","")))&amp;" "&amp;IF(OR(E32=0),"",IF(OR(0&lt;E32,E32&lt;=15),"NO."&amp;E32))&amp;" "&amp;D32&amp;IF(OR(B32="",D32=""),"",))</f>
        <v xml:space="preserve"> NO.5 BYPASS V/V</v>
      </c>
      <c r="G32" s="21" t="s">
        <v>25</v>
      </c>
      <c r="H32" s="16" t="s">
        <v>11</v>
      </c>
      <c r="I32" s="86"/>
      <c r="J32" s="87"/>
      <c r="K32" s="87"/>
      <c r="L32" s="88"/>
    </row>
    <row r="33" spans="2:12" ht="20.25" customHeight="1" x14ac:dyDescent="0.3">
      <c r="B33" s="5" t="s">
        <v>105</v>
      </c>
      <c r="C33" s="6"/>
      <c r="D33" s="12" t="s">
        <v>5</v>
      </c>
      <c r="E33" s="6">
        <v>6</v>
      </c>
      <c r="F33" s="18" t="str">
        <f t="shared" si="2"/>
        <v xml:space="preserve"> NO.6 BYPASS V/V</v>
      </c>
      <c r="G33" s="21" t="s">
        <v>25</v>
      </c>
      <c r="H33" s="16" t="s">
        <v>11</v>
      </c>
      <c r="I33" s="86"/>
      <c r="J33" s="87"/>
      <c r="K33" s="87"/>
      <c r="L33" s="88"/>
    </row>
    <row r="34" spans="2:12" ht="20.25" customHeight="1" x14ac:dyDescent="0.3">
      <c r="B34" s="54" t="s">
        <v>22</v>
      </c>
      <c r="C34" s="54"/>
      <c r="D34" s="54"/>
      <c r="E34" s="17" t="s">
        <v>21</v>
      </c>
      <c r="F34" s="24" t="s">
        <v>4</v>
      </c>
      <c r="G34" s="13" t="s">
        <v>10</v>
      </c>
      <c r="H34" s="8"/>
      <c r="I34" s="50"/>
      <c r="J34" s="55"/>
      <c r="K34" s="55"/>
      <c r="L34" s="56"/>
    </row>
    <row r="35" spans="2:12" ht="20.25" customHeight="1" x14ac:dyDescent="0.3">
      <c r="B35" s="6"/>
      <c r="C35" s="6"/>
      <c r="D35" s="12" t="s">
        <v>8</v>
      </c>
      <c r="E35" s="6">
        <v>2</v>
      </c>
      <c r="F35" s="18" t="str">
        <f>IF(C35="APT","(APT)",IF(C35="BWT","(BWT)",IF(C35="APT/BWT","(APT/BWT)","")))&amp;" "&amp;IF(OR(E35=0),"",IF(OR(0&lt;E35,E35&lt;=15),"NO."&amp;E35))&amp;" "&amp;D35&amp;" "</f>
        <v xml:space="preserve"> NO.2 BALLAST P/P </v>
      </c>
      <c r="G35" s="19" t="s">
        <v>24</v>
      </c>
      <c r="H35" s="9"/>
      <c r="I35" s="42"/>
      <c r="J35" s="42"/>
      <c r="K35" s="42"/>
      <c r="L35" s="42"/>
    </row>
    <row r="36" spans="2:12" ht="28.5" customHeight="1" x14ac:dyDescent="0.3"/>
    <row r="37" spans="2:12" ht="28.5" customHeight="1" x14ac:dyDescent="0.3"/>
    <row r="38" spans="2:12" ht="28.5" customHeight="1" x14ac:dyDescent="0.3"/>
    <row r="39" spans="2:12" ht="28.5" customHeight="1" x14ac:dyDescent="0.3"/>
    <row r="40" spans="2:12" ht="28.5" customHeight="1" x14ac:dyDescent="0.3"/>
    <row r="41" spans="2:12" ht="28.5" customHeight="1" x14ac:dyDescent="0.3"/>
    <row r="42" spans="2:12" ht="28.5" customHeight="1" x14ac:dyDescent="0.3"/>
    <row r="43" spans="2:12" ht="28.5" customHeight="1" x14ac:dyDescent="0.3"/>
    <row r="44" spans="2:12" ht="28.5" customHeight="1" x14ac:dyDescent="0.3"/>
    <row r="45" spans="2:12" ht="28.5" customHeight="1" x14ac:dyDescent="0.3"/>
    <row r="46" spans="2:12" ht="28.5" customHeight="1" x14ac:dyDescent="0.3"/>
    <row r="47" spans="2:12" ht="28.5" customHeight="1" x14ac:dyDescent="0.3"/>
    <row r="48" spans="2:12" ht="28.5" customHeight="1" x14ac:dyDescent="0.3"/>
    <row r="49" ht="28.5" customHeight="1" x14ac:dyDescent="0.3"/>
    <row r="50" ht="28.5" customHeight="1" x14ac:dyDescent="0.3"/>
    <row r="51" ht="28.5" customHeight="1" x14ac:dyDescent="0.3"/>
    <row r="52" ht="28.5" customHeight="1" x14ac:dyDescent="0.3"/>
    <row r="53" ht="28.5" customHeight="1" x14ac:dyDescent="0.3"/>
    <row r="54" ht="28.5" customHeight="1" x14ac:dyDescent="0.3"/>
    <row r="55" ht="28.5" customHeight="1" x14ac:dyDescent="0.3"/>
    <row r="56" ht="28.5" customHeight="1" x14ac:dyDescent="0.3"/>
    <row r="57" ht="28.5" customHeight="1" x14ac:dyDescent="0.3"/>
    <row r="58" ht="28.5" customHeight="1" x14ac:dyDescent="0.3"/>
    <row r="59" ht="28.5" customHeight="1" x14ac:dyDescent="0.3"/>
    <row r="60" ht="28.5" customHeight="1" x14ac:dyDescent="0.3"/>
    <row r="61" ht="28.5" customHeight="1" x14ac:dyDescent="0.3"/>
    <row r="62" ht="28.5" customHeight="1" x14ac:dyDescent="0.3"/>
    <row r="63" ht="28.5" customHeight="1" x14ac:dyDescent="0.3"/>
    <row r="64" ht="28.5" customHeight="1" x14ac:dyDescent="0.3"/>
    <row r="65" ht="28.5" customHeight="1" x14ac:dyDescent="0.3"/>
    <row r="66" ht="28.5" customHeight="1" x14ac:dyDescent="0.3"/>
    <row r="67" ht="28.5" customHeight="1" x14ac:dyDescent="0.3"/>
    <row r="68" ht="28.5" customHeight="1" x14ac:dyDescent="0.3"/>
    <row r="69" ht="28.5" customHeight="1" x14ac:dyDescent="0.3"/>
    <row r="70" ht="28.5" customHeight="1" x14ac:dyDescent="0.3"/>
    <row r="71" ht="28.5" customHeight="1" x14ac:dyDescent="0.3"/>
    <row r="72" ht="28.5" customHeight="1" x14ac:dyDescent="0.3"/>
    <row r="73" ht="28.5" customHeight="1" x14ac:dyDescent="0.3"/>
    <row r="74" ht="28.5" customHeight="1" x14ac:dyDescent="0.3"/>
    <row r="75" ht="28.5" customHeight="1" x14ac:dyDescent="0.3"/>
    <row r="76" ht="28.5" customHeight="1" x14ac:dyDescent="0.3"/>
    <row r="77" ht="28.5" customHeight="1" x14ac:dyDescent="0.3"/>
    <row r="78" ht="28.5" customHeight="1" x14ac:dyDescent="0.3"/>
    <row r="79" ht="28.5" customHeight="1" x14ac:dyDescent="0.3"/>
    <row r="80" ht="28.5" customHeight="1" x14ac:dyDescent="0.3"/>
    <row r="81" ht="28.5" customHeight="1" x14ac:dyDescent="0.3"/>
    <row r="82" ht="28.5" customHeight="1" x14ac:dyDescent="0.3"/>
    <row r="83" ht="28.5" customHeight="1" x14ac:dyDescent="0.3"/>
    <row r="84" ht="28.5" customHeight="1" x14ac:dyDescent="0.3"/>
    <row r="85" ht="28.5" customHeight="1" x14ac:dyDescent="0.3"/>
    <row r="86" ht="28.5" customHeight="1" x14ac:dyDescent="0.3"/>
    <row r="87" ht="28.5" customHeight="1" x14ac:dyDescent="0.3"/>
    <row r="88" ht="28.5" customHeight="1" x14ac:dyDescent="0.3"/>
    <row r="89" ht="28.5" customHeight="1" x14ac:dyDescent="0.3"/>
    <row r="90" ht="28.5" customHeight="1" x14ac:dyDescent="0.3"/>
  </sheetData>
  <mergeCells count="41">
    <mergeCell ref="I5:K5"/>
    <mergeCell ref="B5:H7"/>
    <mergeCell ref="B24:H26"/>
    <mergeCell ref="I31:L33"/>
    <mergeCell ref="B34:D34"/>
    <mergeCell ref="I34:L34"/>
    <mergeCell ref="I35:L35"/>
    <mergeCell ref="I29:L29"/>
    <mergeCell ref="B30:D30"/>
    <mergeCell ref="I30:L30"/>
    <mergeCell ref="B27:D27"/>
    <mergeCell ref="I27:L27"/>
    <mergeCell ref="I28:L28"/>
    <mergeCell ref="I24:K24"/>
    <mergeCell ref="B8:D8"/>
    <mergeCell ref="B2:F4"/>
    <mergeCell ref="G4:H4"/>
    <mergeCell ref="G3:H3"/>
    <mergeCell ref="B13:D13"/>
    <mergeCell ref="B21:D21"/>
    <mergeCell ref="I20:L20"/>
    <mergeCell ref="I21:L21"/>
    <mergeCell ref="B22:D22"/>
    <mergeCell ref="I22:L22"/>
    <mergeCell ref="B20:D20"/>
    <mergeCell ref="B19:E19"/>
    <mergeCell ref="I17:L17"/>
    <mergeCell ref="I18:L18"/>
    <mergeCell ref="I19:L19"/>
    <mergeCell ref="B17:D17"/>
    <mergeCell ref="G1:H1"/>
    <mergeCell ref="M14:M16"/>
    <mergeCell ref="I12:L12"/>
    <mergeCell ref="I14:L16"/>
    <mergeCell ref="I13:L13"/>
    <mergeCell ref="I8:L8"/>
    <mergeCell ref="G2:H2"/>
    <mergeCell ref="I11:L11"/>
    <mergeCell ref="I2:K2"/>
    <mergeCell ref="I9:L9"/>
    <mergeCell ref="I10:L10"/>
  </mergeCells>
  <phoneticPr fontId="1" type="noConversion"/>
  <conditionalFormatting sqref="I14">
    <cfRule type="cellIs" dxfId="1" priority="3" operator="equal">
      <formula>"OPEN"</formula>
    </cfRule>
  </conditionalFormatting>
  <conditionalFormatting sqref="I31">
    <cfRule type="cellIs" dxfId="0" priority="1" operator="equal">
      <formula>"OPEN"</formula>
    </cfRule>
  </conditionalFormatting>
  <dataValidations count="1">
    <dataValidation type="whole" allowBlank="1" showInputMessage="1" showErrorMessage="1" sqref="E18 E20:E22 E14:E16 E35 E9:E12 E28:E29 E31:E33" xr:uid="{7D077357-8FC9-4C7D-BB5C-9602AA34D3C2}">
      <formula1>0</formula1>
      <formula2>12</formula2>
    </dataValidation>
  </dataValidations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(Ver.24.01)</vt:lpstr>
      <vt:lpstr>(Ver.25.01)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eun-ji lee</dc:creator>
  <cp:lastModifiedBy>김수민</cp:lastModifiedBy>
  <cp:lastPrinted>2025-11-28T01:03:44Z</cp:lastPrinted>
  <dcterms:created xsi:type="dcterms:W3CDTF">2013-08-26T04:41:03Z</dcterms:created>
  <dcterms:modified xsi:type="dcterms:W3CDTF">2025-11-28T02:10:01Z</dcterms:modified>
</cp:coreProperties>
</file>